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t a Glance" sheetId="2" state="visible" r:id="rId2"/>
    <sheet name="Outreach1" sheetId="3" state="visible" r:id="rId3"/>
    <sheet name="Youth in Work1" sheetId="4" state="visible" r:id="rId4"/>
    <sheet name="Wage Employment1" sheetId="5" state="visible" r:id="rId5"/>
    <sheet name="Entrepreneurship1" sheetId="6" state="visible" r:id="rId6"/>
    <sheet name="Further Education1" sheetId="7" state="visible" r:id="rId7"/>
    <sheet name="Impact Reports1" sheetId="8" state="visible" r:id="rId8"/>
    <sheet name="Impact Stories" sheetId="9" state="visible" r:id="rId9"/>
    <sheet name="Outreach" sheetId="10" state="visible" r:id="rId10"/>
    <sheet name="Youth in Work" sheetId="11" state="visible" r:id="rId11"/>
    <sheet name="Wage Employment" sheetId="12" state="visible" r:id="rId12"/>
    <sheet name="Entrepreneurship" sheetId="13" state="visible" r:id="rId13"/>
    <sheet name="Further Education" sheetId="14" state="visible" r:id="rId14"/>
    <sheet name="Impact Repor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"/>
    <numFmt numFmtId="168" formatCode="0.0&quot;%&quot;"/>
    <numFmt numFmtId="169" formatCode="0&quot;%&quot;"/>
  </numFmts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2"/>
    </font>
    <font>
      <b val="1"/>
      <sz val="10"/>
    </font>
    <font>
      <b val="1"/>
      <sz val="12"/>
    </font>
    <font>
      <b val="1"/>
      <sz val="9"/>
    </font>
    <font>
      <b val="1"/>
      <color rgb="00102C5E"/>
      <sz val="9"/>
    </font>
    <font>
      <b val="1"/>
      <sz val="8"/>
    </font>
    <font>
      <i val="1"/>
      <color rgb="00666666"/>
      <sz val="9"/>
    </font>
    <font>
      <b val="1"/>
      <color rgb="00FFFFFF"/>
      <sz val="11"/>
    </font>
    <font>
      <b val="1"/>
      <color rgb="00102C5E"/>
      <sz val="8"/>
    </font>
    <font>
      <b val="1"/>
      <sz val="7"/>
    </font>
    <font>
      <b val="1"/>
      <color rgb="00102C5E"/>
      <sz val="11"/>
    </font>
    <font>
      <b val="1"/>
    </font>
    <font>
      <i val="1"/>
      <sz val="9"/>
    </font>
    <font>
      <color rgb="000563C1"/>
      <u val="single"/>
    </font>
    <font>
      <b val="1"/>
      <sz val="11"/>
    </font>
    <font>
      <b val="1"/>
      <color rgb="00C65911"/>
    </font>
    <font>
      <b val="1"/>
      <color rgb="000563C1"/>
    </font>
  </fonts>
  <fills count="13">
    <fill>
      <patternFill/>
    </fill>
    <fill>
      <patternFill patternType="gray125"/>
    </fill>
    <fill>
      <patternFill patternType="solid">
        <fgColor rgb="00102C5E"/>
        <bgColor rgb="00102C5E"/>
      </patternFill>
    </fill>
    <fill>
      <patternFill patternType="solid">
        <fgColor rgb="0014306B"/>
        <bgColor rgb="0014306B"/>
      </patternFill>
    </fill>
    <fill>
      <patternFill patternType="solid">
        <fgColor rgb="00D9E1F2"/>
        <bgColor rgb="00D9E1F2"/>
      </patternFill>
    </fill>
    <fill>
      <patternFill patternType="solid">
        <fgColor rgb="00E7F0FF"/>
        <bgColor rgb="00E7F0FF"/>
      </patternFill>
    </fill>
    <fill>
      <patternFill patternType="solid">
        <fgColor rgb="00F0F0F0"/>
        <bgColor rgb="00F0F0F0"/>
      </patternFill>
    </fill>
    <fill>
      <patternFill patternType="solid">
        <fgColor rgb="00E8F4F8"/>
        <bgColor rgb="00E8F4F8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F4E8"/>
        <bgColor rgb="00FFF4E8"/>
      </patternFill>
    </fill>
    <fill>
      <patternFill patternType="solid">
        <fgColor rgb="00F0E8F8"/>
        <bgColor rgb="00F0E8F8"/>
      </patternFill>
    </fill>
    <fill>
      <patternFill patternType="solid">
        <fgColor rgb="00E8F8E8"/>
        <bgColor rgb="00E8F8E8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0" pivotButton="0" quotePrefix="0" xfId="0"/>
    <xf numFmtId="3" fontId="0" fillId="0" borderId="0" pivotButton="0" quotePrefix="0" xfId="0"/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168" fontId="0" fillId="0" borderId="1" applyAlignment="1" pivotButton="0" quotePrefix="0" xfId="0">
      <alignment horizontal="center"/>
    </xf>
    <xf numFmtId="1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3" fillId="4" borderId="1" pivotButton="0" quotePrefix="0" xfId="0"/>
    <xf numFmtId="0" fontId="0" fillId="0" borderId="1" applyAlignment="1" pivotButton="0" quotePrefix="0" xfId="0">
      <alignment horizontal="left" wrapText="1"/>
    </xf>
    <xf numFmtId="169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wrapText="1"/>
    </xf>
    <xf numFmtId="0" fontId="5" fillId="4" borderId="1" pivotButton="0" quotePrefix="0" xfId="0"/>
    <xf numFmtId="0" fontId="6" fillId="5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7" fillId="6" borderId="1" applyAlignment="1" pivotButton="0" quotePrefix="0" xfId="0">
      <alignment horizontal="center"/>
    </xf>
    <xf numFmtId="0" fontId="5" fillId="0" borderId="1" applyAlignment="1" pivotButton="0" quotePrefix="0" xfId="0">
      <alignment horizontal="left" wrapText="1"/>
    </xf>
    <xf numFmtId="0" fontId="8" fillId="0" borderId="0" pivotButton="0" quotePrefix="0" xfId="0"/>
    <xf numFmtId="0" fontId="9" fillId="3" borderId="0" pivotButton="0" quotePrefix="0" xfId="0"/>
    <xf numFmtId="0" fontId="7" fillId="4" borderId="1" pivotButton="0" quotePrefix="0" xfId="0"/>
    <xf numFmtId="0" fontId="10" fillId="5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12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3" fillId="9" borderId="1" applyAlignment="1" pivotButton="0" quotePrefix="0" xfId="0">
      <alignment horizontal="center"/>
    </xf>
    <xf numFmtId="0" fontId="13" fillId="10" borderId="1" applyAlignment="1" pivotButton="0" quotePrefix="0" xfId="0">
      <alignment horizontal="center"/>
    </xf>
    <xf numFmtId="0" fontId="13" fillId="11" borderId="1" applyAlignment="1" pivotButton="0" quotePrefix="0" xfId="0">
      <alignment horizontal="center"/>
    </xf>
    <xf numFmtId="0" fontId="13" fillId="12" borderId="1" applyAlignment="1" pivotButton="0" quotePrefix="0" xfId="0">
      <alignment horizontal="center"/>
    </xf>
    <xf numFmtId="0" fontId="13" fillId="0" borderId="1" pivotButton="0" quotePrefix="0" xfId="0"/>
    <xf numFmtId="0" fontId="16" fillId="5" borderId="1" applyAlignment="1" pivotButton="0" quotePrefix="0" xfId="0">
      <alignment horizontal="center"/>
    </xf>
    <xf numFmtId="0" fontId="14" fillId="0" borderId="1" applyAlignment="1" pivotButton="0" quotePrefix="0" xfId="0">
      <alignment horizontal="left" wrapText="1"/>
    </xf>
    <xf numFmtId="0" fontId="13" fillId="5" borderId="1" applyAlignment="1" pivotButton="0" quotePrefix="0" xfId="0">
      <alignment horizontal="center"/>
    </xf>
    <xf numFmtId="0" fontId="3" fillId="0" borderId="1" pivotButton="0" quotePrefix="0" xfId="0"/>
    <xf numFmtId="0" fontId="4" fillId="5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0" fontId="17" fillId="10" borderId="1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0" fontId="18" fillId="7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7" fillId="0" borderId="1" pivotButton="0" quotePrefix="0" xfId="0"/>
    <xf numFmtId="0" fontId="1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 ht="25" customHeight="1">
      <c r="A1" s="1" t="inlineStr">
        <is>
          <t>EXECUTIVE DASHBOARD - USER GUIDE</t>
        </is>
      </c>
    </row>
    <row r="3">
      <c r="A3" s="2" t="inlineStr">
        <is>
          <t>Dashboard Overview</t>
        </is>
      </c>
    </row>
    <row r="4">
      <c r="A4" s="3" t="inlineStr">
        <is>
          <t>This workbook provides a comprehensive Executive Dashboard for the CHII programme with 8 key sections:</t>
        </is>
      </c>
    </row>
    <row r="5">
      <c r="A5" s="3" t="inlineStr">
        <is>
          <t>1. At a Glance - High-level KPIs and programme summary</t>
        </is>
      </c>
    </row>
    <row r="6">
      <c r="A6" s="3" t="inlineStr">
        <is>
          <t>2. Outreach - Participation metrics by programme and institution</t>
        </is>
      </c>
    </row>
    <row r="7">
      <c r="A7" s="3" t="inlineStr">
        <is>
          <t>3. Youth in Work - Employment outcomes and pathways</t>
        </is>
      </c>
    </row>
    <row r="8">
      <c r="A8" s="3" t="inlineStr">
        <is>
          <t>4. Wage Employment - Detailed employment quality metrics</t>
        </is>
      </c>
    </row>
    <row r="9">
      <c r="A9" s="3" t="inlineStr">
        <is>
          <t>5. Entrepreneurship - Venture portfolio overview and funding</t>
        </is>
      </c>
    </row>
    <row r="10">
      <c r="A10" s="3" t="inlineStr">
        <is>
          <t>6. Further Education - Knowledge gains and career outcomes</t>
        </is>
      </c>
    </row>
    <row r="11">
      <c r="A11" s="3" t="inlineStr">
        <is>
          <t>7. Impact Reports - Long-term impact and policy influence</t>
        </is>
      </c>
    </row>
    <row r="12">
      <c r="A12" s="3" t="inlineStr">
        <is>
          <t>8. Impact Stories - Qualitative case studies and narratives</t>
        </is>
      </c>
    </row>
    <row r="14">
      <c r="A14" s="2" t="inlineStr">
        <is>
          <t>How to Use This Dashboard</t>
        </is>
      </c>
    </row>
    <row r="15">
      <c r="A15" s="3" t="inlineStr">
        <is>
          <t>1. Each sheet represents one dashboard section</t>
        </is>
      </c>
    </row>
    <row r="16">
      <c r="A16" s="3" t="inlineStr">
        <is>
          <t>2. Update data regularly (weekly for real-time metrics, monthly for full refresh)</t>
        </is>
      </c>
    </row>
    <row r="17">
      <c r="A17" s="3" t="inlineStr">
        <is>
          <t>3. All metrics feed from the Consolidated_MELA_Workbook data entry system</t>
        </is>
      </c>
    </row>
    <row r="18">
      <c r="A18" s="3" t="inlineStr">
        <is>
          <t>4. Use the 'At a Glance' sheet for executive summaries</t>
        </is>
      </c>
    </row>
    <row r="19">
      <c r="A19" s="3" t="inlineStr">
        <is>
          <t>5. Drill down into specific sections for detailed analysis</t>
        </is>
      </c>
    </row>
    <row r="21">
      <c r="A21" s="2" t="inlineStr">
        <is>
          <t>Data Sources</t>
        </is>
      </c>
    </row>
    <row r="22">
      <c r="A22" t="inlineStr">
        <is>
          <t>This dashboard pulls data from:</t>
        </is>
      </c>
    </row>
    <row r="23">
      <c r="A23" t="inlineStr">
        <is>
          <t>- Consolidated_MELA_Workbook.xlsx (data entry system)</t>
        </is>
      </c>
    </row>
    <row r="24">
      <c r="A24" t="inlineStr">
        <is>
          <t>- All 15 data collection sheets feed into dashboard metrics</t>
        </is>
      </c>
    </row>
    <row r="25">
      <c r="A25" t="inlineStr">
        <is>
          <t>- Monthly updates recommended for accuracy</t>
        </is>
      </c>
    </row>
  </sheetData>
  <mergeCells count="2">
    <mergeCell ref="A1:D1"/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2" customWidth="1" min="22" max="22"/>
    <col width="20" customWidth="1" min="23" max="23"/>
  </cols>
  <sheetData>
    <row r="1" ht="25" customHeight="1">
      <c r="A1" s="4" t="inlineStr">
        <is>
          <t>CHII EXECUTIVE DASHBOARD - AT A GLANCE</t>
        </is>
      </c>
    </row>
    <row r="2">
      <c r="A2" s="34" t="inlineStr">
        <is>
          <t>Quarterly Trends (2022-2026) | Data Source: CHII MELA Consolidated Database</t>
        </is>
      </c>
    </row>
    <row r="3" ht="18" customHeight="1">
      <c r="A3" s="35" t="inlineStr">
        <is>
          <t>OUTREACH &amp; ACCESS METRICS</t>
        </is>
      </c>
    </row>
    <row r="4">
      <c r="A4" s="36" t="inlineStr">
        <is>
          <t>Metric</t>
        </is>
      </c>
      <c r="B4" s="37" t="inlineStr">
        <is>
          <t>2022</t>
        </is>
      </c>
      <c r="C4" s="30" t="n"/>
      <c r="D4" s="30" t="n"/>
      <c r="E4" s="31" t="n"/>
      <c r="F4" s="37" t="inlineStr">
        <is>
          <t>2023</t>
        </is>
      </c>
      <c r="G4" s="30" t="n"/>
      <c r="H4" s="30" t="n"/>
      <c r="I4" s="31" t="n"/>
      <c r="J4" s="37" t="inlineStr">
        <is>
          <t>2024</t>
        </is>
      </c>
      <c r="K4" s="30" t="n"/>
      <c r="L4" s="30" t="n"/>
      <c r="M4" s="31" t="n"/>
      <c r="N4" s="37" t="inlineStr">
        <is>
          <t>2025</t>
        </is>
      </c>
      <c r="O4" s="30" t="n"/>
      <c r="P4" s="30" t="n"/>
      <c r="Q4" s="31" t="n"/>
      <c r="R4" s="37" t="inlineStr">
        <is>
          <t>2026</t>
        </is>
      </c>
      <c r="S4" s="30" t="n"/>
      <c r="T4" s="30" t="n"/>
      <c r="U4" s="31" t="n"/>
      <c r="V4" s="36" t="inlineStr">
        <is>
          <t>2026 YoY %</t>
        </is>
      </c>
      <c r="W4" s="36" t="inlineStr">
        <is>
          <t>Notes</t>
        </is>
      </c>
    </row>
    <row r="5" ht="16" customHeight="1">
      <c r="B5" s="38" t="inlineStr">
        <is>
          <t>Q1</t>
        </is>
      </c>
      <c r="C5" s="38" t="inlineStr">
        <is>
          <t>Q2</t>
        </is>
      </c>
      <c r="D5" s="38" t="inlineStr">
        <is>
          <t>Q3</t>
        </is>
      </c>
      <c r="E5" s="38" t="inlineStr">
        <is>
          <t>Q4</t>
        </is>
      </c>
      <c r="F5" s="38" t="inlineStr">
        <is>
          <t>Q1</t>
        </is>
      </c>
      <c r="G5" s="38" t="inlineStr">
        <is>
          <t>Q2</t>
        </is>
      </c>
      <c r="H5" s="38" t="inlineStr">
        <is>
          <t>Q3</t>
        </is>
      </c>
      <c r="I5" s="38" t="inlineStr">
        <is>
          <t>Q4</t>
        </is>
      </c>
      <c r="J5" s="38" t="inlineStr">
        <is>
          <t>Q1</t>
        </is>
      </c>
      <c r="K5" s="38" t="inlineStr">
        <is>
          <t>Q2</t>
        </is>
      </c>
      <c r="L5" s="38" t="inlineStr">
        <is>
          <t>Q3</t>
        </is>
      </c>
      <c r="M5" s="38" t="inlineStr">
        <is>
          <t>Q4</t>
        </is>
      </c>
      <c r="N5" s="38" t="inlineStr">
        <is>
          <t>Q1</t>
        </is>
      </c>
      <c r="O5" s="38" t="inlineStr">
        <is>
          <t>Q2</t>
        </is>
      </c>
      <c r="P5" s="38" t="inlineStr">
        <is>
          <t>Q3</t>
        </is>
      </c>
      <c r="Q5" s="38" t="inlineStr">
        <is>
          <t>Q4</t>
        </is>
      </c>
      <c r="R5" s="38" t="inlineStr">
        <is>
          <t>Q1</t>
        </is>
      </c>
      <c r="S5" s="38" t="inlineStr">
        <is>
          <t>Q2</t>
        </is>
      </c>
      <c r="T5" s="38" t="inlineStr">
        <is>
          <t>Q3</t>
        </is>
      </c>
      <c r="U5" s="38" t="inlineStr">
        <is>
          <t>Q4</t>
        </is>
      </c>
    </row>
    <row r="6" ht="22" customHeight="1">
      <c r="A6" s="33" t="inlineStr">
        <is>
          <t>Total Beneficiaries</t>
        </is>
      </c>
      <c r="B6" s="8" t="n">
        <v>180</v>
      </c>
      <c r="C6" s="8" t="n">
        <v>320</v>
      </c>
      <c r="D6" s="8" t="n">
        <v>520</v>
      </c>
      <c r="E6" s="8" t="n">
        <v>720</v>
      </c>
      <c r="F6" s="8" t="n">
        <v>850</v>
      </c>
      <c r="G6" s="8" t="n">
        <v>980</v>
      </c>
      <c r="H6" s="8" t="n">
        <v>1050</v>
      </c>
      <c r="I6" s="8" t="n">
        <v>1100</v>
      </c>
      <c r="J6" s="8" t="n">
        <v>1150</v>
      </c>
      <c r="K6" s="8" t="n">
        <v>1200</v>
      </c>
      <c r="L6" s="8" t="n">
        <v>1240</v>
      </c>
      <c r="M6" s="8" t="n">
        <v>1280</v>
      </c>
      <c r="N6" s="8" t="n">
        <v>1280</v>
      </c>
      <c r="O6" s="8" t="n">
        <v>1280</v>
      </c>
      <c r="P6" s="8" t="n">
        <v>1280</v>
      </c>
      <c r="Q6" s="8" t="n">
        <v>1280</v>
      </c>
      <c r="R6" s="8" t="n">
        <v>1280</v>
      </c>
      <c r="S6" s="8" t="n">
        <v>1280</v>
      </c>
      <c r="T6" s="8" t="n">
        <v>1280</v>
      </c>
      <c r="U6" s="8" t="n">
        <v>1280</v>
      </c>
      <c r="V6" s="10" t="inlineStr">
        <is>
          <t>0%</t>
        </is>
      </c>
      <c r="W6" s="25" t="inlineStr">
        <is>
          <t>Total across HEMP, HENT, HECO</t>
        </is>
      </c>
    </row>
    <row r="7" ht="22" customHeight="1">
      <c r="A7" s="33" t="inlineStr">
        <is>
          <t>Currently Enrolled</t>
        </is>
      </c>
      <c r="B7" s="8" t="n">
        <v>28</v>
      </c>
      <c r="C7" s="8" t="n">
        <v>52</v>
      </c>
      <c r="D7" s="8" t="n">
        <v>88</v>
      </c>
      <c r="E7" s="8" t="n">
        <v>128</v>
      </c>
      <c r="F7" s="8" t="n">
        <v>160</v>
      </c>
      <c r="G7" s="8" t="n">
        <v>185</v>
      </c>
      <c r="H7" s="8" t="n">
        <v>205</v>
      </c>
      <c r="I7" s="8" t="n">
        <v>225</v>
      </c>
      <c r="J7" s="8" t="n">
        <v>245</v>
      </c>
      <c r="K7" s="8" t="n">
        <v>260</v>
      </c>
      <c r="L7" s="8" t="n">
        <v>275</v>
      </c>
      <c r="M7" s="8" t="n">
        <v>288</v>
      </c>
      <c r="N7" s="8" t="n">
        <v>288</v>
      </c>
      <c r="O7" s="8" t="n">
        <v>288</v>
      </c>
      <c r="P7" s="8" t="n">
        <v>288</v>
      </c>
      <c r="Q7" s="8" t="n">
        <v>288</v>
      </c>
      <c r="R7" s="8" t="n">
        <v>288</v>
      </c>
      <c r="S7" s="8" t="n">
        <v>288</v>
      </c>
      <c r="T7" s="8" t="n">
        <v>288</v>
      </c>
      <c r="U7" s="8" t="n">
        <v>288</v>
      </c>
      <c r="V7" s="10" t="inlineStr">
        <is>
          <t>0%</t>
        </is>
      </c>
      <c r="W7" s="25" t="inlineStr">
        <is>
          <t>Active programme participants</t>
        </is>
      </c>
    </row>
    <row r="8" ht="22" customHeight="1">
      <c r="A8" s="33" t="inlineStr">
        <is>
          <t>Graduates</t>
        </is>
      </c>
      <c r="B8" s="8" t="n">
        <v>25</v>
      </c>
      <c r="C8" s="8" t="n">
        <v>58</v>
      </c>
      <c r="D8" s="8" t="n">
        <v>95</v>
      </c>
      <c r="E8" s="8" t="n">
        <v>145</v>
      </c>
      <c r="F8" s="8" t="n">
        <v>215</v>
      </c>
      <c r="G8" s="8" t="n">
        <v>310</v>
      </c>
      <c r="H8" s="8" t="n">
        <v>420</v>
      </c>
      <c r="I8" s="8" t="n">
        <v>520</v>
      </c>
      <c r="J8" s="8" t="n">
        <v>620</v>
      </c>
      <c r="K8" s="8" t="n">
        <v>680</v>
      </c>
      <c r="L8" s="8" t="n">
        <v>730</v>
      </c>
      <c r="M8" s="8" t="n">
        <v>793</v>
      </c>
      <c r="N8" s="8" t="n">
        <v>793</v>
      </c>
      <c r="O8" s="8" t="n">
        <v>793</v>
      </c>
      <c r="P8" s="8" t="n">
        <v>793</v>
      </c>
      <c r="Q8" s="8" t="n">
        <v>793</v>
      </c>
      <c r="R8" s="8" t="n">
        <v>793</v>
      </c>
      <c r="S8" s="8" t="n">
        <v>793</v>
      </c>
      <c r="T8" s="8" t="n">
        <v>793</v>
      </c>
      <c r="U8" s="8" t="n">
        <v>793</v>
      </c>
      <c r="V8" s="10" t="inlineStr">
        <is>
          <t>0%</t>
        </is>
      </c>
      <c r="W8" s="25" t="inlineStr">
        <is>
          <t>Programme completers</t>
        </is>
      </c>
    </row>
    <row r="9" ht="22" customHeight="1">
      <c r="A9" s="33" t="inlineStr">
        <is>
          <t>Youth with Disability</t>
        </is>
      </c>
      <c r="B9" s="8" t="n">
        <v>4</v>
      </c>
      <c r="C9" s="8" t="n">
        <v>8</v>
      </c>
      <c r="D9" s="8" t="n">
        <v>12</v>
      </c>
      <c r="E9" s="8" t="n">
        <v>18</v>
      </c>
      <c r="F9" s="8" t="n">
        <v>25</v>
      </c>
      <c r="G9" s="8" t="n">
        <v>32</v>
      </c>
      <c r="H9" s="8" t="n">
        <v>38</v>
      </c>
      <c r="I9" s="8" t="n">
        <v>45</v>
      </c>
      <c r="J9" s="8" t="n">
        <v>52</v>
      </c>
      <c r="K9" s="8" t="n">
        <v>58</v>
      </c>
      <c r="L9" s="8" t="n">
        <v>63</v>
      </c>
      <c r="M9" s="8" t="n">
        <v>69</v>
      </c>
      <c r="N9" s="8" t="n">
        <v>69</v>
      </c>
      <c r="O9" s="8" t="n">
        <v>69</v>
      </c>
      <c r="P9" s="8" t="n">
        <v>69</v>
      </c>
      <c r="Q9" s="8" t="n">
        <v>69</v>
      </c>
      <c r="R9" s="8" t="n">
        <v>69</v>
      </c>
      <c r="S9" s="8" t="n">
        <v>69</v>
      </c>
      <c r="T9" s="8" t="n">
        <v>69</v>
      </c>
      <c r="U9" s="8" t="n">
        <v>69</v>
      </c>
      <c r="V9" s="10" t="inlineStr">
        <is>
          <t>0%</t>
        </is>
      </c>
      <c r="W9" s="25" t="inlineStr">
        <is>
          <t>PWD participants</t>
        </is>
      </c>
    </row>
    <row r="10" ht="22" customHeight="1">
      <c r="A10" s="33" t="inlineStr">
        <is>
          <t>Refugee / IDP</t>
        </is>
      </c>
      <c r="B10" s="8" t="n">
        <v>8</v>
      </c>
      <c r="C10" s="8" t="n">
        <v>15</v>
      </c>
      <c r="D10" s="8" t="n">
        <v>25</v>
      </c>
      <c r="E10" s="8" t="n">
        <v>35</v>
      </c>
      <c r="F10" s="8" t="n">
        <v>50</v>
      </c>
      <c r="G10" s="8" t="n">
        <v>68</v>
      </c>
      <c r="H10" s="8" t="n">
        <v>85</v>
      </c>
      <c r="I10" s="8" t="n">
        <v>105</v>
      </c>
      <c r="J10" s="8" t="n">
        <v>120</v>
      </c>
      <c r="K10" s="8" t="n">
        <v>128</v>
      </c>
      <c r="L10" s="8" t="n">
        <v>135</v>
      </c>
      <c r="M10" s="8" t="n">
        <v>139</v>
      </c>
      <c r="N10" s="8" t="n">
        <v>139</v>
      </c>
      <c r="O10" s="8" t="n">
        <v>139</v>
      </c>
      <c r="P10" s="8" t="n">
        <v>139</v>
      </c>
      <c r="Q10" s="8" t="n">
        <v>139</v>
      </c>
      <c r="R10" s="8" t="n">
        <v>139</v>
      </c>
      <c r="S10" s="8" t="n">
        <v>139</v>
      </c>
      <c r="T10" s="8" t="n">
        <v>139</v>
      </c>
      <c r="U10" s="8" t="n">
        <v>139</v>
      </c>
      <c r="V10" s="10" t="inlineStr">
        <is>
          <t>0%</t>
        </is>
      </c>
      <c r="W10" s="25" t="inlineStr">
        <is>
          <t>Displaced population support</t>
        </is>
      </c>
    </row>
    <row r="11" ht="22" customHeight="1">
      <c r="A11" s="33" t="inlineStr">
        <is>
          <t>MCF Scholars</t>
        </is>
      </c>
      <c r="B11" s="8" t="n">
        <v>30</v>
      </c>
      <c r="C11" s="8" t="n">
        <v>65</v>
      </c>
      <c r="D11" s="8" t="n">
        <v>120</v>
      </c>
      <c r="E11" s="8" t="n">
        <v>180</v>
      </c>
      <c r="F11" s="8" t="n">
        <v>280</v>
      </c>
      <c r="G11" s="8" t="n">
        <v>350</v>
      </c>
      <c r="H11" s="8" t="n">
        <v>420</v>
      </c>
      <c r="I11" s="8" t="n">
        <v>480</v>
      </c>
      <c r="J11" s="8" t="n">
        <v>520</v>
      </c>
      <c r="K11" s="8" t="n">
        <v>535</v>
      </c>
      <c r="L11" s="8" t="n">
        <v>544</v>
      </c>
      <c r="M11" s="8" t="n">
        <v>552</v>
      </c>
      <c r="N11" s="8" t="n">
        <v>552</v>
      </c>
      <c r="O11" s="8" t="n">
        <v>552</v>
      </c>
      <c r="P11" s="8" t="n">
        <v>552</v>
      </c>
      <c r="Q11" s="8" t="n">
        <v>552</v>
      </c>
      <c r="R11" s="8" t="n">
        <v>552</v>
      </c>
      <c r="S11" s="8" t="n">
        <v>552</v>
      </c>
      <c r="T11" s="8" t="n">
        <v>552</v>
      </c>
      <c r="U11" s="8" t="n">
        <v>552</v>
      </c>
      <c r="V11" s="10" t="inlineStr">
        <is>
          <t>0%</t>
        </is>
      </c>
      <c r="W11" s="25" t="inlineStr">
        <is>
          <t>Mastercard Foundation scholars</t>
        </is>
      </c>
    </row>
    <row r="12" ht="22" customHeight="1">
      <c r="A12" s="33" t="inlineStr">
        <is>
          <t>CSAT Score (0-5)</t>
        </is>
      </c>
      <c r="B12" s="9" t="n">
        <v>3.2</v>
      </c>
      <c r="C12" s="9" t="n">
        <v>3.4</v>
      </c>
      <c r="D12" s="9" t="n">
        <v>3.6</v>
      </c>
      <c r="E12" s="9" t="n">
        <v>3.8</v>
      </c>
      <c r="F12" s="9" t="n">
        <v>3.9</v>
      </c>
      <c r="G12" s="9" t="n">
        <v>4</v>
      </c>
      <c r="H12" s="9" t="n">
        <v>4.1</v>
      </c>
      <c r="I12" s="9" t="n">
        <v>4.1</v>
      </c>
      <c r="J12" s="9" t="n">
        <v>4.1</v>
      </c>
      <c r="K12" s="9" t="n">
        <v>4.1</v>
      </c>
      <c r="L12" s="9" t="n">
        <v>4.2</v>
      </c>
      <c r="M12" s="9" t="n">
        <v>4.2</v>
      </c>
      <c r="N12" s="9" t="n">
        <v>4.2</v>
      </c>
      <c r="O12" s="9" t="n">
        <v>4.2</v>
      </c>
      <c r="P12" s="9" t="n">
        <v>4.2</v>
      </c>
      <c r="Q12" s="9" t="n">
        <v>4.2</v>
      </c>
      <c r="R12" s="9" t="n">
        <v>4.2</v>
      </c>
      <c r="S12" s="9" t="n">
        <v>4.2</v>
      </c>
      <c r="T12" s="9" t="n">
        <v>4.2</v>
      </c>
      <c r="U12" s="9" t="n">
        <v>4.2</v>
      </c>
      <c r="V12" s="10" t="inlineStr">
        <is>
          <t>0%</t>
        </is>
      </c>
      <c r="W12" s="25" t="inlineStr">
        <is>
          <t>Customer satisfaction (n=240)</t>
        </is>
      </c>
    </row>
    <row r="13" ht="22" customHeight="1">
      <c r="A13" s="33" t="inlineStr">
        <is>
          <t>Employer Rating (0-5)</t>
        </is>
      </c>
      <c r="B13" s="9" t="n">
        <v>3.8</v>
      </c>
      <c r="C13" s="9" t="n">
        <v>4</v>
      </c>
      <c r="D13" s="9" t="n">
        <v>4.2</v>
      </c>
      <c r="E13" s="9" t="n">
        <v>4.3</v>
      </c>
      <c r="F13" s="9" t="n">
        <v>4.3</v>
      </c>
      <c r="G13" s="9" t="n">
        <v>4.4</v>
      </c>
      <c r="H13" s="9" t="n">
        <v>4.5</v>
      </c>
      <c r="I13" s="9" t="n">
        <v>4.5</v>
      </c>
      <c r="J13" s="9" t="n">
        <v>4.5</v>
      </c>
      <c r="K13" s="9" t="n">
        <v>4.5</v>
      </c>
      <c r="L13" s="9" t="n">
        <v>4.6</v>
      </c>
      <c r="M13" s="9" t="n">
        <v>4.6</v>
      </c>
      <c r="N13" s="9" t="n">
        <v>4.6</v>
      </c>
      <c r="O13" s="9" t="n">
        <v>4.6</v>
      </c>
      <c r="P13" s="9" t="n">
        <v>4.6</v>
      </c>
      <c r="Q13" s="9" t="n">
        <v>4.6</v>
      </c>
      <c r="R13" s="9" t="n">
        <v>4.6</v>
      </c>
      <c r="S13" s="9" t="n">
        <v>4.6</v>
      </c>
      <c r="T13" s="9" t="n">
        <v>4.6</v>
      </c>
      <c r="U13" s="9" t="n">
        <v>4.6</v>
      </c>
      <c r="V13" s="10" t="inlineStr">
        <is>
          <t>0%</t>
        </is>
      </c>
      <c r="W13" s="25" t="inlineStr">
        <is>
          <t>Employer feedback (n=156)</t>
        </is>
      </c>
    </row>
    <row r="14" ht="18" customHeight="1">
      <c r="A14" s="35" t="inlineStr">
        <is>
          <t>PROGRAM OUTCOMES - YOUTH IN WORK &amp; EMPLOYMENT</t>
        </is>
      </c>
    </row>
    <row r="15" ht="22" customHeight="1">
      <c r="A15" s="39" t="inlineStr">
        <is>
          <t>Youth in Work (Total)</t>
        </is>
      </c>
      <c r="B15" s="8" t="n">
        <v>12</v>
      </c>
      <c r="C15" s="8" t="n">
        <v>24</v>
      </c>
      <c r="D15" s="8" t="n">
        <v>38</v>
      </c>
      <c r="E15" s="8" t="n">
        <v>52</v>
      </c>
      <c r="F15" s="8" t="n">
        <v>68</v>
      </c>
      <c r="G15" s="8" t="n">
        <v>85</v>
      </c>
      <c r="H15" s="8" t="n">
        <v>98</v>
      </c>
      <c r="I15" s="8" t="n">
        <v>112</v>
      </c>
      <c r="J15" s="8" t="n">
        <v>120</v>
      </c>
      <c r="K15" s="8" t="n">
        <v>126</v>
      </c>
      <c r="L15" s="8" t="n">
        <v>129</v>
      </c>
      <c r="M15" s="8" t="n">
        <v>131</v>
      </c>
      <c r="N15" s="8" t="n">
        <v>131</v>
      </c>
      <c r="O15" s="8" t="n">
        <v>131</v>
      </c>
      <c r="P15" s="8" t="n">
        <v>131</v>
      </c>
      <c r="Q15" s="8" t="n">
        <v>131</v>
      </c>
      <c r="R15" s="8" t="n">
        <v>131</v>
      </c>
      <c r="S15" s="8" t="n">
        <v>131</v>
      </c>
      <c r="T15" s="8" t="n">
        <v>131</v>
      </c>
      <c r="U15" s="8" t="n">
        <v>131</v>
      </c>
      <c r="V15" s="10" t="inlineStr">
        <is>
          <t>+8%</t>
        </is>
      </c>
      <c r="W15" s="40" t="inlineStr">
        <is>
          <t>Active workforce</t>
        </is>
      </c>
    </row>
    <row r="16" ht="22" customHeight="1">
      <c r="A16" s="39" t="inlineStr">
        <is>
          <t>Wage Employment</t>
        </is>
      </c>
      <c r="B16" s="8" t="n">
        <v>8</v>
      </c>
      <c r="C16" s="8" t="n">
        <v>16</v>
      </c>
      <c r="D16" s="8" t="n">
        <v>24</v>
      </c>
      <c r="E16" s="8" t="n">
        <v>32</v>
      </c>
      <c r="F16" s="8" t="n">
        <v>38</v>
      </c>
      <c r="G16" s="8" t="n">
        <v>42</v>
      </c>
      <c r="H16" s="8" t="n">
        <v>45</v>
      </c>
      <c r="I16" s="8" t="n">
        <v>47</v>
      </c>
      <c r="J16" s="8" t="n">
        <v>48</v>
      </c>
      <c r="K16" s="8" t="n">
        <v>49</v>
      </c>
      <c r="L16" s="8" t="n">
        <v>50</v>
      </c>
      <c r="M16" s="8" t="n">
        <v>51</v>
      </c>
      <c r="N16" s="8" t="n">
        <v>51</v>
      </c>
      <c r="O16" s="8" t="n">
        <v>51</v>
      </c>
      <c r="P16" s="8" t="n">
        <v>51</v>
      </c>
      <c r="Q16" s="8" t="n">
        <v>51</v>
      </c>
      <c r="R16" s="8" t="n">
        <v>51</v>
      </c>
      <c r="S16" s="8" t="n">
        <v>51</v>
      </c>
      <c r="T16" s="8" t="n">
        <v>51</v>
      </c>
      <c r="U16" s="8" t="n">
        <v>51</v>
      </c>
      <c r="V16" s="10" t="inlineStr">
        <is>
          <t>+12%</t>
        </is>
      </c>
      <c r="W16" s="40" t="inlineStr">
        <is>
          <t>Employed (wage jobs)</t>
        </is>
      </c>
    </row>
    <row r="17" ht="22" customHeight="1">
      <c r="A17" s="39" t="inlineStr">
        <is>
          <t>Entrepreneurs</t>
        </is>
      </c>
      <c r="B17" s="8" t="n">
        <v>2</v>
      </c>
      <c r="C17" s="8" t="n">
        <v>4</v>
      </c>
      <c r="D17" s="8" t="n">
        <v>6</v>
      </c>
      <c r="E17" s="8" t="n">
        <v>8</v>
      </c>
      <c r="F17" s="8" t="n">
        <v>12</v>
      </c>
      <c r="G17" s="8" t="n">
        <v>14</v>
      </c>
      <c r="H17" s="8" t="n">
        <v>17</v>
      </c>
      <c r="I17" s="8" t="n">
        <v>19</v>
      </c>
      <c r="J17" s="8" t="n">
        <v>20</v>
      </c>
      <c r="K17" s="8" t="n">
        <v>20</v>
      </c>
      <c r="L17" s="8" t="n">
        <v>20</v>
      </c>
      <c r="M17" s="8" t="n">
        <v>21</v>
      </c>
      <c r="N17" s="8" t="n">
        <v>21</v>
      </c>
      <c r="O17" s="8" t="n">
        <v>21</v>
      </c>
      <c r="P17" s="8" t="n">
        <v>21</v>
      </c>
      <c r="Q17" s="8" t="n">
        <v>21</v>
      </c>
      <c r="R17" s="8" t="n">
        <v>21</v>
      </c>
      <c r="S17" s="8" t="n">
        <v>21</v>
      </c>
      <c r="T17" s="8" t="n">
        <v>21</v>
      </c>
      <c r="U17" s="8" t="n">
        <v>21</v>
      </c>
      <c r="V17" s="10" t="inlineStr">
        <is>
          <t>+5%</t>
        </is>
      </c>
      <c r="W17" s="40" t="inlineStr">
        <is>
          <t>Business owners</t>
        </is>
      </c>
    </row>
    <row r="18" ht="22" customHeight="1">
      <c r="A18" s="39" t="inlineStr">
        <is>
          <t>Jobs Created (Total)</t>
        </is>
      </c>
      <c r="B18" s="8" t="n">
        <v>120</v>
      </c>
      <c r="C18" s="8" t="n">
        <v>280</v>
      </c>
      <c r="D18" s="8" t="n">
        <v>520</v>
      </c>
      <c r="E18" s="8" t="n">
        <v>850</v>
      </c>
      <c r="F18" s="8" t="n">
        <v>1220</v>
      </c>
      <c r="G18" s="8" t="n">
        <v>1520</v>
      </c>
      <c r="H18" s="8" t="n">
        <v>1750</v>
      </c>
      <c r="I18" s="8" t="n">
        <v>1920</v>
      </c>
      <c r="J18" s="8" t="n">
        <v>2050</v>
      </c>
      <c r="K18" s="8" t="n">
        <v>2090</v>
      </c>
      <c r="L18" s="8" t="n">
        <v>2120</v>
      </c>
      <c r="M18" s="8" t="n">
        <v>2151</v>
      </c>
      <c r="N18" s="8" t="n">
        <v>2151</v>
      </c>
      <c r="O18" s="8" t="n">
        <v>2151</v>
      </c>
      <c r="P18" s="8" t="n">
        <v>2151</v>
      </c>
      <c r="Q18" s="8" t="n">
        <v>2151</v>
      </c>
      <c r="R18" s="8" t="n">
        <v>2151</v>
      </c>
      <c r="S18" s="8" t="n">
        <v>2151</v>
      </c>
      <c r="T18" s="8" t="n">
        <v>2151</v>
      </c>
      <c r="U18" s="8" t="n">
        <v>2151</v>
      </c>
      <c r="V18" s="10" t="inlineStr">
        <is>
          <t>+18%</t>
        </is>
      </c>
      <c r="W18" s="40" t="inlineStr">
        <is>
          <t>Direct employment created</t>
        </is>
      </c>
    </row>
    <row r="19" ht="22" customHeight="1">
      <c r="A19" s="39" t="inlineStr">
        <is>
          <t>Active Ventures</t>
        </is>
      </c>
      <c r="B19" s="8" t="n">
        <v>2</v>
      </c>
      <c r="C19" s="8" t="n">
        <v>4</v>
      </c>
      <c r="D19" s="8" t="n">
        <v>6</v>
      </c>
      <c r="E19" s="8" t="n">
        <v>9</v>
      </c>
      <c r="F19" s="8" t="n">
        <v>12</v>
      </c>
      <c r="G19" s="8" t="n">
        <v>14</v>
      </c>
      <c r="H19" s="8" t="n">
        <v>15</v>
      </c>
      <c r="I19" s="8" t="n">
        <v>16</v>
      </c>
      <c r="J19" s="8" t="n">
        <v>17</v>
      </c>
      <c r="K19" s="8" t="n">
        <v>17</v>
      </c>
      <c r="L19" s="8" t="n">
        <v>18</v>
      </c>
      <c r="M19" s="8" t="n">
        <v>18</v>
      </c>
      <c r="N19" s="8" t="n">
        <v>18</v>
      </c>
      <c r="O19" s="8" t="n">
        <v>18</v>
      </c>
      <c r="P19" s="8" t="n">
        <v>18</v>
      </c>
      <c r="Q19" s="8" t="n">
        <v>18</v>
      </c>
      <c r="R19" s="8" t="n">
        <v>18</v>
      </c>
      <c r="S19" s="8" t="n">
        <v>18</v>
      </c>
      <c r="T19" s="8" t="n">
        <v>18</v>
      </c>
      <c r="U19" s="8" t="n">
        <v>18</v>
      </c>
      <c r="V19" s="10" t="inlineStr">
        <is>
          <t>+22%</t>
        </is>
      </c>
      <c r="W19" s="40" t="inlineStr">
        <is>
          <t>Enterprises generating revenue</t>
        </is>
      </c>
    </row>
    <row r="20" ht="22" customHeight="1">
      <c r="A20" s="39" t="inlineStr">
        <is>
          <t>Freelancers</t>
        </is>
      </c>
      <c r="B20" s="8" t="n">
        <v>1</v>
      </c>
      <c r="C20" s="8" t="n">
        <v>2</v>
      </c>
      <c r="D20" s="8" t="n">
        <v>4</v>
      </c>
      <c r="E20" s="8" t="n">
        <v>6</v>
      </c>
      <c r="F20" s="8" t="n">
        <v>8</v>
      </c>
      <c r="G20" s="8" t="n">
        <v>10</v>
      </c>
      <c r="H20" s="8" t="n">
        <v>12</v>
      </c>
      <c r="I20" s="8" t="n">
        <v>13</v>
      </c>
      <c r="J20" s="8" t="n">
        <v>12</v>
      </c>
      <c r="K20" s="8" t="n">
        <v>12</v>
      </c>
      <c r="L20" s="8" t="n">
        <v>12</v>
      </c>
      <c r="M20" s="8" t="n">
        <v>12</v>
      </c>
      <c r="N20" s="8" t="n">
        <v>12</v>
      </c>
      <c r="O20" s="8" t="n">
        <v>12</v>
      </c>
      <c r="P20" s="8" t="n">
        <v>12</v>
      </c>
      <c r="Q20" s="8" t="n">
        <v>12</v>
      </c>
      <c r="R20" s="8" t="n">
        <v>12</v>
      </c>
      <c r="S20" s="8" t="n">
        <v>12</v>
      </c>
      <c r="T20" s="8" t="n">
        <v>12</v>
      </c>
      <c r="U20" s="8" t="n">
        <v>12</v>
      </c>
      <c r="V20" s="10" t="inlineStr">
        <is>
          <t>-3%</t>
        </is>
      </c>
      <c r="W20" s="40" t="inlineStr">
        <is>
          <t>Self-employed</t>
        </is>
      </c>
    </row>
    <row r="21" ht="22" customHeight="1">
      <c r="A21" s="39" t="inlineStr">
        <is>
          <t>Job Seeking</t>
        </is>
      </c>
      <c r="B21" s="8" t="n">
        <v>2</v>
      </c>
      <c r="C21" s="8" t="n">
        <v>4</v>
      </c>
      <c r="D21" s="8" t="n">
        <v>6</v>
      </c>
      <c r="E21" s="8" t="n">
        <v>8</v>
      </c>
      <c r="F21" s="8" t="n">
        <v>10</v>
      </c>
      <c r="G21" s="8" t="n">
        <v>12</v>
      </c>
      <c r="H21" s="8" t="n">
        <v>14</v>
      </c>
      <c r="I21" s="8" t="n">
        <v>15</v>
      </c>
      <c r="J21" s="8" t="n">
        <v>16</v>
      </c>
      <c r="K21" s="8" t="n">
        <v>25</v>
      </c>
      <c r="L21" s="8" t="n">
        <v>35</v>
      </c>
      <c r="M21" s="8" t="n">
        <v>47</v>
      </c>
      <c r="N21" s="8" t="n">
        <v>50</v>
      </c>
      <c r="O21" s="8" t="n">
        <v>50</v>
      </c>
      <c r="P21" s="8" t="n">
        <v>50</v>
      </c>
      <c r="Q21" s="8" t="n">
        <v>47</v>
      </c>
      <c r="R21" s="8" t="n">
        <v>47</v>
      </c>
      <c r="S21" s="8" t="n">
        <v>47</v>
      </c>
      <c r="T21" s="8" t="n">
        <v>47</v>
      </c>
      <c r="U21" s="8" t="n">
        <v>47</v>
      </c>
      <c r="V21" s="10" t="inlineStr">
        <is>
          <t>-15%</t>
        </is>
      </c>
      <c r="W21" s="40" t="inlineStr">
        <is>
          <t>In transition / seeking</t>
        </is>
      </c>
    </row>
    <row r="22" ht="22" customHeight="1">
      <c r="A22" s="39" t="inlineStr">
        <is>
          <t>Continuing Studies</t>
        </is>
      </c>
      <c r="B22" s="8" t="n">
        <v>15</v>
      </c>
      <c r="C22" s="8" t="n">
        <v>32</v>
      </c>
      <c r="D22" s="8" t="n">
        <v>52</v>
      </c>
      <c r="E22" s="8" t="n">
        <v>78</v>
      </c>
      <c r="F22" s="8" t="n">
        <v>110</v>
      </c>
      <c r="G22" s="8" t="n">
        <v>140</v>
      </c>
      <c r="H22" s="8" t="n">
        <v>165</v>
      </c>
      <c r="I22" s="8" t="n">
        <v>185</v>
      </c>
      <c r="J22" s="8" t="n">
        <v>200</v>
      </c>
      <c r="K22" s="8" t="n">
        <v>206</v>
      </c>
      <c r="L22" s="8" t="n">
        <v>206</v>
      </c>
      <c r="M22" s="8" t="n">
        <v>206</v>
      </c>
      <c r="N22" s="8" t="n">
        <v>206</v>
      </c>
      <c r="O22" s="8" t="n">
        <v>206</v>
      </c>
      <c r="P22" s="8" t="n">
        <v>206</v>
      </c>
      <c r="Q22" s="8" t="n">
        <v>206</v>
      </c>
      <c r="R22" s="8" t="n">
        <v>206</v>
      </c>
      <c r="S22" s="8" t="n">
        <v>206</v>
      </c>
      <c r="T22" s="8" t="n">
        <v>206</v>
      </c>
      <c r="U22" s="8" t="n">
        <v>206</v>
      </c>
      <c r="V22" s="10" t="inlineStr">
        <is>
          <t>+11%</t>
        </is>
      </c>
      <c r="W22" s="40" t="inlineStr">
        <is>
          <t>Further education pursuits</t>
        </is>
      </c>
    </row>
    <row r="23" ht="18" customHeight="1">
      <c r="A23" s="35" t="inlineStr">
        <is>
          <t>KEY PERFORMANCE INSIGHTS</t>
        </is>
      </c>
    </row>
    <row r="24" ht="22" customHeight="1">
      <c r="A24" s="41" t="inlineStr">
        <is>
          <t>52%</t>
        </is>
      </c>
      <c r="B24" s="39" t="inlineStr">
        <is>
          <t>Gender Balance</t>
        </is>
      </c>
      <c r="C24" s="40" t="inlineStr">
        <is>
          <t>Female participants (Target: 50%)</t>
        </is>
      </c>
      <c r="D24" s="31" t="n"/>
      <c r="E24" s="40" t="inlineStr">
        <is>
          <t>Exceeds target across all programmes</t>
        </is>
      </c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1" t="n"/>
    </row>
    <row r="25" ht="22" customHeight="1">
      <c r="A25" s="41" t="inlineStr">
        <is>
          <t>+28%</t>
        </is>
      </c>
      <c r="B25" s="39" t="inlineStr">
        <is>
          <t>Regional Growth</t>
        </is>
      </c>
      <c r="C25" s="40" t="inlineStr">
        <is>
          <t>YoY expansion across 12 countries</t>
        </is>
      </c>
      <c r="D25" s="31" t="n"/>
      <c r="E25" s="40" t="inlineStr">
        <is>
          <t>East Africa +38%, West Africa activated</t>
        </is>
      </c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1" t="n"/>
    </row>
    <row r="26" ht="22" customHeight="1">
      <c r="A26" s="41" t="inlineStr">
        <is>
          <t>76%</t>
        </is>
      </c>
      <c r="B26" s="39" t="inlineStr">
        <is>
          <t>Employment Success</t>
        </is>
      </c>
      <c r="C26" s="40" t="inlineStr">
        <is>
          <t>Graduate employment rate</t>
        </is>
      </c>
      <c r="D26" s="31" t="n"/>
      <c r="E26" s="40" t="inlineStr">
        <is>
          <t>Wage 39%, Self-emp 23%, Further ed 14%</t>
        </is>
      </c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1" t="n"/>
    </row>
    <row r="27" ht="22" customHeight="1">
      <c r="A27" s="41" t="inlineStr">
        <is>
          <t>18</t>
        </is>
      </c>
      <c r="B27" s="39" t="inlineStr">
        <is>
          <t>Venture Momentum</t>
        </is>
      </c>
      <c r="C27" s="40" t="inlineStr">
        <is>
          <t>New enterprises (↑22% YoY)</t>
        </is>
      </c>
      <c r="D27" s="31" t="n"/>
      <c r="E27" s="40" t="inlineStr">
        <is>
          <t>2,151 jobs created, avg $52K revenue</t>
        </is>
      </c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1" t="n"/>
    </row>
  </sheetData>
  <mergeCells count="18">
    <mergeCell ref="C24:D24"/>
    <mergeCell ref="B4:E4"/>
    <mergeCell ref="A2:U2"/>
    <mergeCell ref="E26:U26"/>
    <mergeCell ref="R4:U4"/>
    <mergeCell ref="C25:D25"/>
    <mergeCell ref="F4:I4"/>
    <mergeCell ref="C27:D27"/>
    <mergeCell ref="J4:M4"/>
    <mergeCell ref="C26:D26"/>
    <mergeCell ref="N4:Q4"/>
    <mergeCell ref="E25:U25"/>
    <mergeCell ref="A14:U14"/>
    <mergeCell ref="E24:U24"/>
    <mergeCell ref="A1:U1"/>
    <mergeCell ref="A23:U23"/>
    <mergeCell ref="E27:U27"/>
    <mergeCell ref="A3:U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2" customWidth="1" min="22" max="22"/>
    <col width="20" customWidth="1" min="23" max="23"/>
  </cols>
  <sheetData>
    <row r="1" ht="25" customHeight="1">
      <c r="A1" s="4" t="inlineStr">
        <is>
          <t>CHII EXECUTIVE DASHBOARD - OUTREACH</t>
        </is>
      </c>
    </row>
    <row r="2">
      <c r="A2" s="34" t="inlineStr">
        <is>
          <t>Reach &amp; Participation Metrics | Quarterly Trends (2022-2026)</t>
        </is>
      </c>
    </row>
    <row r="3" ht="18" customHeight="1">
      <c r="A3" s="35" t="inlineStr">
        <is>
          <t>REACH &amp; PARTICIPATION METRICS</t>
        </is>
      </c>
    </row>
    <row r="4">
      <c r="A4" s="36" t="inlineStr">
        <is>
          <t>Metric</t>
        </is>
      </c>
      <c r="B4" s="37" t="inlineStr">
        <is>
          <t>2022</t>
        </is>
      </c>
      <c r="C4" s="30" t="n"/>
      <c r="D4" s="30" t="n"/>
      <c r="E4" s="31" t="n"/>
      <c r="F4" s="37" t="inlineStr">
        <is>
          <t>2023</t>
        </is>
      </c>
      <c r="G4" s="30" t="n"/>
      <c r="H4" s="30" t="n"/>
      <c r="I4" s="31" t="n"/>
      <c r="J4" s="37" t="inlineStr">
        <is>
          <t>2024</t>
        </is>
      </c>
      <c r="K4" s="30" t="n"/>
      <c r="L4" s="30" t="n"/>
      <c r="M4" s="31" t="n"/>
      <c r="N4" s="37" t="inlineStr">
        <is>
          <t>2025</t>
        </is>
      </c>
      <c r="O4" s="30" t="n"/>
      <c r="P4" s="30" t="n"/>
      <c r="Q4" s="31" t="n"/>
      <c r="R4" s="37" t="inlineStr">
        <is>
          <t>2026</t>
        </is>
      </c>
      <c r="S4" s="30" t="n"/>
      <c r="T4" s="30" t="n"/>
      <c r="U4" s="31" t="n"/>
      <c r="V4" s="36" t="inlineStr">
        <is>
          <t>2026 YoY %</t>
        </is>
      </c>
      <c r="W4" s="36" t="inlineStr">
        <is>
          <t>Notes</t>
        </is>
      </c>
    </row>
    <row r="5" ht="16" customHeight="1">
      <c r="B5" s="38" t="inlineStr">
        <is>
          <t>Q1</t>
        </is>
      </c>
      <c r="C5" s="38" t="inlineStr">
        <is>
          <t>Q2</t>
        </is>
      </c>
      <c r="D5" s="38" t="inlineStr">
        <is>
          <t>Q3</t>
        </is>
      </c>
      <c r="E5" s="38" t="inlineStr">
        <is>
          <t>Q4</t>
        </is>
      </c>
      <c r="F5" s="38" t="inlineStr">
        <is>
          <t>Q1</t>
        </is>
      </c>
      <c r="G5" s="38" t="inlineStr">
        <is>
          <t>Q2</t>
        </is>
      </c>
      <c r="H5" s="38" t="inlineStr">
        <is>
          <t>Q3</t>
        </is>
      </c>
      <c r="I5" s="38" t="inlineStr">
        <is>
          <t>Q4</t>
        </is>
      </c>
      <c r="J5" s="38" t="inlineStr">
        <is>
          <t>Q1</t>
        </is>
      </c>
      <c r="K5" s="38" t="inlineStr">
        <is>
          <t>Q2</t>
        </is>
      </c>
      <c r="L5" s="38" t="inlineStr">
        <is>
          <t>Q3</t>
        </is>
      </c>
      <c r="M5" s="38" t="inlineStr">
        <is>
          <t>Q4</t>
        </is>
      </c>
      <c r="N5" s="38" t="inlineStr">
        <is>
          <t>Q1</t>
        </is>
      </c>
      <c r="O5" s="38" t="inlineStr">
        <is>
          <t>Q2</t>
        </is>
      </c>
      <c r="P5" s="38" t="inlineStr">
        <is>
          <t>Q3</t>
        </is>
      </c>
      <c r="Q5" s="38" t="inlineStr">
        <is>
          <t>Q4</t>
        </is>
      </c>
      <c r="R5" s="38" t="inlineStr">
        <is>
          <t>Q1</t>
        </is>
      </c>
      <c r="S5" s="38" t="inlineStr">
        <is>
          <t>Q2</t>
        </is>
      </c>
      <c r="T5" s="38" t="inlineStr">
        <is>
          <t>Q3</t>
        </is>
      </c>
      <c r="U5" s="38" t="inlineStr">
        <is>
          <t>Q4</t>
        </is>
      </c>
    </row>
    <row r="6" ht="22" customHeight="1">
      <c r="A6" s="33" t="inlineStr">
        <is>
          <t>Total Participants (All Programmes)</t>
        </is>
      </c>
      <c r="B6" s="8" t="n">
        <v>180</v>
      </c>
      <c r="C6" s="8" t="n">
        <v>320</v>
      </c>
      <c r="D6" s="8" t="n">
        <v>520</v>
      </c>
      <c r="E6" s="8" t="n">
        <v>720</v>
      </c>
      <c r="F6" s="8" t="n">
        <v>850</v>
      </c>
      <c r="G6" s="8" t="n">
        <v>980</v>
      </c>
      <c r="H6" s="8" t="n">
        <v>1050</v>
      </c>
      <c r="I6" s="8" t="n">
        <v>1100</v>
      </c>
      <c r="J6" s="8" t="n">
        <v>1150</v>
      </c>
      <c r="K6" s="8" t="n">
        <v>1200</v>
      </c>
      <c r="L6" s="8" t="n">
        <v>1240</v>
      </c>
      <c r="M6" s="8" t="n">
        <v>1280</v>
      </c>
      <c r="N6" s="8" t="n">
        <v>1280</v>
      </c>
      <c r="O6" s="8" t="n">
        <v>1280</v>
      </c>
      <c r="P6" s="8" t="n">
        <v>1280</v>
      </c>
      <c r="Q6" s="8" t="n">
        <v>1280</v>
      </c>
      <c r="R6" s="8" t="n">
        <v>1280</v>
      </c>
      <c r="S6" s="8" t="n">
        <v>1280</v>
      </c>
      <c r="T6" s="8" t="n">
        <v>1280</v>
      </c>
      <c r="U6" s="8" t="n">
        <v>1280</v>
      </c>
      <c r="V6" s="10" t="inlineStr">
        <is>
          <t>0%</t>
        </is>
      </c>
      <c r="W6" s="40" t="inlineStr">
        <is>
          <t>Cumulative across HEMP, HENT, HECO</t>
        </is>
      </c>
    </row>
    <row r="7" ht="22" customHeight="1">
      <c r="A7" s="33" t="inlineStr">
        <is>
          <t>Interventions (Types)</t>
        </is>
      </c>
      <c r="B7" s="8" t="n">
        <v>4</v>
      </c>
      <c r="C7" s="8" t="n">
        <v>5</v>
      </c>
      <c r="D7" s="8" t="n">
        <v>6</v>
      </c>
      <c r="E7" s="8" t="n">
        <v>7</v>
      </c>
      <c r="F7" s="8" t="n">
        <v>7</v>
      </c>
      <c r="G7" s="8" t="n">
        <v>8</v>
      </c>
      <c r="H7" s="8" t="n">
        <v>8</v>
      </c>
      <c r="I7" s="8" t="n">
        <v>8</v>
      </c>
      <c r="J7" s="8" t="n">
        <v>8</v>
      </c>
      <c r="K7" s="8" t="n">
        <v>8</v>
      </c>
      <c r="L7" s="8" t="n">
        <v>8</v>
      </c>
      <c r="M7" s="8" t="n">
        <v>9</v>
      </c>
      <c r="N7" s="8" t="n">
        <v>9</v>
      </c>
      <c r="O7" s="8" t="n">
        <v>9</v>
      </c>
      <c r="P7" s="8" t="n">
        <v>9</v>
      </c>
      <c r="Q7" s="8" t="n">
        <v>9</v>
      </c>
      <c r="R7" s="8" t="n">
        <v>9</v>
      </c>
      <c r="S7" s="8" t="n">
        <v>9</v>
      </c>
      <c r="T7" s="8" t="n">
        <v>9</v>
      </c>
      <c r="U7" s="8" t="n">
        <v>9</v>
      </c>
      <c r="V7" s="10" t="inlineStr">
        <is>
          <t>12.5%</t>
        </is>
      </c>
      <c r="W7" s="40" t="inlineStr">
        <is>
          <t>Different intervention types offered</t>
        </is>
      </c>
    </row>
    <row r="8" ht="22" customHeight="1">
      <c r="A8" s="33" t="inlineStr">
        <is>
          <t>Mission Students</t>
        </is>
      </c>
      <c r="B8" s="8" t="n">
        <v>28</v>
      </c>
      <c r="C8" s="8" t="n">
        <v>52</v>
      </c>
      <c r="D8" s="8" t="n">
        <v>88</v>
      </c>
      <c r="E8" s="8" t="n">
        <v>128</v>
      </c>
      <c r="F8" s="8" t="n">
        <v>185</v>
      </c>
      <c r="G8" s="8" t="n">
        <v>235</v>
      </c>
      <c r="H8" s="8" t="n">
        <v>285</v>
      </c>
      <c r="I8" s="8" t="n">
        <v>335</v>
      </c>
      <c r="J8" s="8" t="n">
        <v>385</v>
      </c>
      <c r="K8" s="8" t="n">
        <v>425</v>
      </c>
      <c r="L8" s="8" t="n">
        <v>450</v>
      </c>
      <c r="M8" s="8" t="n">
        <v>475</v>
      </c>
      <c r="N8" s="8" t="n">
        <v>475</v>
      </c>
      <c r="O8" s="8" t="n">
        <v>475</v>
      </c>
      <c r="P8" s="8" t="n">
        <v>475</v>
      </c>
      <c r="Q8" s="8" t="n">
        <v>475</v>
      </c>
      <c r="R8" s="8" t="n">
        <v>475</v>
      </c>
      <c r="S8" s="8" t="n">
        <v>475</v>
      </c>
      <c r="T8" s="8" t="n">
        <v>475</v>
      </c>
      <c r="U8" s="8" t="n">
        <v>475</v>
      </c>
      <c r="V8" s="10" t="inlineStr">
        <is>
          <t>0%</t>
        </is>
      </c>
      <c r="W8" s="40" t="inlineStr">
        <is>
          <t>ALU mission-aligned students</t>
        </is>
      </c>
    </row>
    <row r="9" ht="22" customHeight="1">
      <c r="A9" s="33" t="inlineStr">
        <is>
          <t>Female Share (%)</t>
        </is>
      </c>
      <c r="B9" s="8" t="n">
        <v>42</v>
      </c>
      <c r="C9" s="8" t="n">
        <v>44</v>
      </c>
      <c r="D9" s="8" t="n">
        <v>46</v>
      </c>
      <c r="E9" s="8" t="n">
        <v>48</v>
      </c>
      <c r="F9" s="8" t="n">
        <v>49</v>
      </c>
      <c r="G9" s="8" t="n">
        <v>49</v>
      </c>
      <c r="H9" s="8" t="n">
        <v>50</v>
      </c>
      <c r="I9" s="8" t="n">
        <v>50</v>
      </c>
      <c r="J9" s="8" t="n">
        <v>50</v>
      </c>
      <c r="K9" s="8" t="n">
        <v>50</v>
      </c>
      <c r="L9" s="8" t="n">
        <v>51</v>
      </c>
      <c r="M9" s="8" t="n">
        <v>51</v>
      </c>
      <c r="N9" s="8" t="n">
        <v>51</v>
      </c>
      <c r="O9" s="8" t="n">
        <v>51</v>
      </c>
      <c r="P9" s="8" t="n">
        <v>51</v>
      </c>
      <c r="Q9" s="8" t="n">
        <v>51</v>
      </c>
      <c r="R9" s="8" t="n">
        <v>51</v>
      </c>
      <c r="S9" s="8" t="n">
        <v>51</v>
      </c>
      <c r="T9" s="8" t="n">
        <v>51</v>
      </c>
      <c r="U9" s="8" t="n">
        <v>51</v>
      </c>
      <c r="V9" s="10" t="inlineStr">
        <is>
          <t>0%</t>
        </is>
      </c>
      <c r="W9" s="40" t="inlineStr">
        <is>
          <t>Gender parity target: 50%</t>
        </is>
      </c>
    </row>
    <row r="10" ht="22" customHeight="1">
      <c r="A10" s="33" t="inlineStr">
        <is>
          <t>Refugee / IDP (%)</t>
        </is>
      </c>
      <c r="B10" s="8" t="n">
        <v>3</v>
      </c>
      <c r="C10" s="8" t="n">
        <v>4</v>
      </c>
      <c r="D10" s="8" t="n">
        <v>5</v>
      </c>
      <c r="E10" s="8" t="n">
        <v>6</v>
      </c>
      <c r="F10" s="8" t="n">
        <v>7</v>
      </c>
      <c r="G10" s="8" t="n">
        <v>8</v>
      </c>
      <c r="H10" s="8" t="n">
        <v>9</v>
      </c>
      <c r="I10" s="8" t="n">
        <v>10</v>
      </c>
      <c r="J10" s="8" t="n">
        <v>10</v>
      </c>
      <c r="K10" s="8" t="n">
        <v>10</v>
      </c>
      <c r="L10" s="8" t="n">
        <v>10</v>
      </c>
      <c r="M10" s="8" t="n">
        <v>11</v>
      </c>
      <c r="N10" s="8" t="n">
        <v>11</v>
      </c>
      <c r="O10" s="8" t="n">
        <v>11</v>
      </c>
      <c r="P10" s="8" t="n">
        <v>11</v>
      </c>
      <c r="Q10" s="8" t="n">
        <v>11</v>
      </c>
      <c r="R10" s="8" t="n">
        <v>11</v>
      </c>
      <c r="S10" s="8" t="n">
        <v>11</v>
      </c>
      <c r="T10" s="8" t="n">
        <v>11</v>
      </c>
      <c r="U10" s="8" t="n">
        <v>11</v>
      </c>
      <c r="V10" s="10" t="inlineStr">
        <is>
          <t>10%</t>
        </is>
      </c>
      <c r="W10" s="40" t="inlineStr">
        <is>
          <t>Displaced population share</t>
        </is>
      </c>
    </row>
    <row r="11" ht="22" customHeight="1">
      <c r="A11" s="33" t="inlineStr">
        <is>
          <t>Persons with Disability (%)</t>
        </is>
      </c>
      <c r="B11" s="8" t="n">
        <v>2</v>
      </c>
      <c r="C11" s="8" t="n">
        <v>2</v>
      </c>
      <c r="D11" s="8" t="n">
        <v>3</v>
      </c>
      <c r="E11" s="8" t="n">
        <v>3</v>
      </c>
      <c r="F11" s="8" t="n">
        <v>4</v>
      </c>
      <c r="G11" s="8" t="n">
        <v>4</v>
      </c>
      <c r="H11" s="8" t="n">
        <v>4</v>
      </c>
      <c r="I11" s="8" t="n">
        <v>4</v>
      </c>
      <c r="J11" s="8" t="n">
        <v>5</v>
      </c>
      <c r="K11" s="8" t="n">
        <v>5</v>
      </c>
      <c r="L11" s="8" t="n">
        <v>5</v>
      </c>
      <c r="M11" s="8" t="n">
        <v>5</v>
      </c>
      <c r="N11" s="8" t="n">
        <v>5</v>
      </c>
      <c r="O11" s="8" t="n">
        <v>5</v>
      </c>
      <c r="P11" s="8" t="n">
        <v>5</v>
      </c>
      <c r="Q11" s="8" t="n">
        <v>5</v>
      </c>
      <c r="R11" s="8" t="n">
        <v>5</v>
      </c>
      <c r="S11" s="8" t="n">
        <v>5</v>
      </c>
      <c r="T11" s="8" t="n">
        <v>5</v>
      </c>
      <c r="U11" s="8" t="n">
        <v>5</v>
      </c>
      <c r="V11" s="10" t="inlineStr">
        <is>
          <t>0%</t>
        </is>
      </c>
      <c r="W11" s="40" t="inlineStr">
        <is>
          <t>PWD participation rate</t>
        </is>
      </c>
    </row>
    <row r="12" ht="18" customHeight="1">
      <c r="A12" s="35" t="inlineStr">
        <is>
          <t>PARTICIPANTS BY PROGRAM</t>
        </is>
      </c>
    </row>
    <row r="13" ht="22" customHeight="1">
      <c r="A13" s="39" t="inlineStr">
        <is>
          <t>HEMP - Total</t>
        </is>
      </c>
      <c r="B13" s="8" t="n">
        <v>65</v>
      </c>
      <c r="C13" s="8" t="n">
        <v>115</v>
      </c>
      <c r="D13" s="8" t="n">
        <v>185</v>
      </c>
      <c r="E13" s="8" t="n">
        <v>245</v>
      </c>
      <c r="F13" s="8" t="n">
        <v>300</v>
      </c>
      <c r="G13" s="8" t="n">
        <v>350</v>
      </c>
      <c r="H13" s="8" t="n">
        <v>380</v>
      </c>
      <c r="I13" s="8" t="n">
        <v>410</v>
      </c>
      <c r="J13" s="8" t="n">
        <v>450</v>
      </c>
      <c r="K13" s="8" t="n">
        <v>480</v>
      </c>
      <c r="L13" s="8" t="n">
        <v>500</v>
      </c>
      <c r="M13" s="8" t="n">
        <v>520</v>
      </c>
      <c r="N13" s="8" t="n">
        <v>530</v>
      </c>
      <c r="O13" s="8" t="n">
        <v>535</v>
      </c>
      <c r="P13" s="8" t="n">
        <v>538</v>
      </c>
      <c r="Q13" s="8" t="n">
        <v>540</v>
      </c>
      <c r="R13" s="8" t="n">
        <v>540</v>
      </c>
      <c r="S13" s="8" t="n">
        <v>540</v>
      </c>
      <c r="T13" s="8" t="n">
        <v>540</v>
      </c>
      <c r="U13" s="8" t="n">
        <v>540</v>
      </c>
      <c r="V13" s="10" t="inlineStr">
        <is>
          <t>+3.8%</t>
        </is>
      </c>
      <c r="W13" s="40" t="inlineStr">
        <is>
          <t>Health entrepreneurship participants</t>
        </is>
      </c>
    </row>
    <row r="14" ht="22" customHeight="1">
      <c r="A14" s="39" t="inlineStr">
        <is>
          <t>HEMP - Female (%)</t>
        </is>
      </c>
      <c r="B14" s="9" t="n">
        <v>48</v>
      </c>
      <c r="C14" s="9" t="n">
        <v>49</v>
      </c>
      <c r="D14" s="9" t="n">
        <v>50</v>
      </c>
      <c r="E14" s="9" t="n">
        <v>50</v>
      </c>
      <c r="F14" s="9" t="n">
        <v>50</v>
      </c>
      <c r="G14" s="9" t="n">
        <v>50</v>
      </c>
      <c r="H14" s="9" t="n">
        <v>51</v>
      </c>
      <c r="I14" s="9" t="n">
        <v>51</v>
      </c>
      <c r="J14" s="9" t="n">
        <v>51</v>
      </c>
      <c r="K14" s="9" t="n">
        <v>51</v>
      </c>
      <c r="L14" s="9" t="n">
        <v>51</v>
      </c>
      <c r="M14" s="9" t="n">
        <v>51</v>
      </c>
      <c r="N14" s="9" t="n">
        <v>51</v>
      </c>
      <c r="O14" s="9" t="n">
        <v>51</v>
      </c>
      <c r="P14" s="9" t="n">
        <v>51</v>
      </c>
      <c r="Q14" s="9" t="n">
        <v>51</v>
      </c>
      <c r="R14" s="9" t="n">
        <v>51</v>
      </c>
      <c r="S14" s="9" t="n">
        <v>51</v>
      </c>
      <c r="T14" s="9" t="n">
        <v>51</v>
      </c>
      <c r="U14" s="9" t="n">
        <v>51</v>
      </c>
      <c r="V14" s="10" t="inlineStr">
        <is>
          <t>0%</t>
        </is>
      </c>
      <c r="W14" s="40" t="inlineStr">
        <is>
          <t>Gender split in HEMP</t>
        </is>
      </c>
    </row>
    <row r="15" ht="22" customHeight="1">
      <c r="A15" s="39" t="inlineStr">
        <is>
          <t>HENT - Total</t>
        </is>
      </c>
      <c r="B15" s="8" t="n">
        <v>80</v>
      </c>
      <c r="C15" s="8" t="n">
        <v>145</v>
      </c>
      <c r="D15" s="8" t="n">
        <v>230</v>
      </c>
      <c r="E15" s="8" t="n">
        <v>310</v>
      </c>
      <c r="F15" s="8" t="n">
        <v>380</v>
      </c>
      <c r="G15" s="8" t="n">
        <v>440</v>
      </c>
      <c r="H15" s="8" t="n">
        <v>480</v>
      </c>
      <c r="I15" s="8" t="n">
        <v>520</v>
      </c>
      <c r="J15" s="8" t="n">
        <v>570</v>
      </c>
      <c r="K15" s="8" t="n">
        <v>600</v>
      </c>
      <c r="L15" s="8" t="n">
        <v>630</v>
      </c>
      <c r="M15" s="8" t="n">
        <v>660</v>
      </c>
      <c r="N15" s="8" t="n">
        <v>680</v>
      </c>
      <c r="O15" s="8" t="n">
        <v>700</v>
      </c>
      <c r="P15" s="8" t="n">
        <v>710</v>
      </c>
      <c r="Q15" s="8" t="n">
        <v>720</v>
      </c>
      <c r="R15" s="8" t="n">
        <v>720</v>
      </c>
      <c r="S15" s="8" t="n">
        <v>720</v>
      </c>
      <c r="T15" s="8" t="n">
        <v>720</v>
      </c>
      <c r="U15" s="8" t="n">
        <v>720</v>
      </c>
      <c r="V15" s="10" t="inlineStr">
        <is>
          <t>+9.1%</t>
        </is>
      </c>
      <c r="W15" s="40" t="inlineStr">
        <is>
          <t>Health innovation &amp; entrepreneurship</t>
        </is>
      </c>
    </row>
    <row r="16" ht="22" customHeight="1">
      <c r="A16" s="39" t="inlineStr">
        <is>
          <t>HENT - Female (%)</t>
        </is>
      </c>
      <c r="B16" s="9" t="n">
        <v>45</v>
      </c>
      <c r="C16" s="9" t="n">
        <v>46</v>
      </c>
      <c r="D16" s="9" t="n">
        <v>48</v>
      </c>
      <c r="E16" s="9" t="n">
        <v>49</v>
      </c>
      <c r="F16" s="9" t="n">
        <v>50</v>
      </c>
      <c r="G16" s="9" t="n">
        <v>50</v>
      </c>
      <c r="H16" s="9" t="n">
        <v>50</v>
      </c>
      <c r="I16" s="9" t="n">
        <v>50</v>
      </c>
      <c r="J16" s="9" t="n">
        <v>50</v>
      </c>
      <c r="K16" s="9" t="n">
        <v>50</v>
      </c>
      <c r="L16" s="9" t="n">
        <v>51</v>
      </c>
      <c r="M16" s="9" t="n">
        <v>51</v>
      </c>
      <c r="N16" s="9" t="n">
        <v>51</v>
      </c>
      <c r="O16" s="9" t="n">
        <v>51</v>
      </c>
      <c r="P16" s="9" t="n">
        <v>51</v>
      </c>
      <c r="Q16" s="9" t="n">
        <v>51</v>
      </c>
      <c r="R16" s="9" t="n">
        <v>51</v>
      </c>
      <c r="S16" s="9" t="n">
        <v>51</v>
      </c>
      <c r="T16" s="9" t="n">
        <v>51</v>
      </c>
      <c r="U16" s="9" t="n">
        <v>51</v>
      </c>
      <c r="V16" s="10" t="inlineStr">
        <is>
          <t>0%</t>
        </is>
      </c>
      <c r="W16" s="40" t="inlineStr">
        <is>
          <t>Gender split in HENT</t>
        </is>
      </c>
    </row>
    <row r="17" ht="22" customHeight="1">
      <c r="A17" s="39" t="inlineStr">
        <is>
          <t>HECO - Total</t>
        </is>
      </c>
      <c r="B17" s="8" t="n">
        <v>35</v>
      </c>
      <c r="C17" s="8" t="n">
        <v>60</v>
      </c>
      <c r="D17" s="8" t="n">
        <v>105</v>
      </c>
      <c r="E17" s="8" t="n">
        <v>165</v>
      </c>
      <c r="F17" s="8" t="n">
        <v>170</v>
      </c>
      <c r="G17" s="8" t="n">
        <v>190</v>
      </c>
      <c r="H17" s="8" t="n">
        <v>190</v>
      </c>
      <c r="I17" s="8" t="n">
        <v>170</v>
      </c>
      <c r="J17" s="8" t="n">
        <v>130</v>
      </c>
      <c r="K17" s="8" t="n">
        <v>120</v>
      </c>
      <c r="L17" s="8" t="n">
        <v>110</v>
      </c>
      <c r="M17" s="8" t="n">
        <v>100</v>
      </c>
      <c r="N17" s="8" t="n">
        <v>70</v>
      </c>
      <c r="O17" s="8" t="n">
        <v>50</v>
      </c>
      <c r="P17" s="8" t="n">
        <v>40</v>
      </c>
      <c r="Q17" s="8" t="n">
        <v>20</v>
      </c>
      <c r="R17" s="8" t="n">
        <v>20</v>
      </c>
      <c r="S17" s="8" t="n">
        <v>20</v>
      </c>
      <c r="T17" s="8" t="n">
        <v>20</v>
      </c>
      <c r="U17" s="8" t="n">
        <v>20</v>
      </c>
      <c r="V17" s="10" t="inlineStr">
        <is>
          <t>-90%</t>
        </is>
      </c>
      <c r="W17" s="40" t="inlineStr">
        <is>
          <t>Research &amp; innovation cohort</t>
        </is>
      </c>
    </row>
    <row r="18" ht="22" customHeight="1">
      <c r="A18" s="39" t="inlineStr">
        <is>
          <t>HECO - Female (%)</t>
        </is>
      </c>
      <c r="B18" s="9" t="n">
        <v>50</v>
      </c>
      <c r="C18" s="9" t="n">
        <v>51</v>
      </c>
      <c r="D18" s="9" t="n">
        <v>52</v>
      </c>
      <c r="E18" s="9" t="n">
        <v>52</v>
      </c>
      <c r="F18" s="9" t="n">
        <v>52</v>
      </c>
      <c r="G18" s="9" t="n">
        <v>52</v>
      </c>
      <c r="H18" s="9" t="n">
        <v>51</v>
      </c>
      <c r="I18" s="9" t="n">
        <v>51</v>
      </c>
      <c r="J18" s="9" t="n">
        <v>50</v>
      </c>
      <c r="K18" s="9" t="n">
        <v>50</v>
      </c>
      <c r="L18" s="9" t="n">
        <v>50</v>
      </c>
      <c r="M18" s="9" t="n">
        <v>50</v>
      </c>
      <c r="N18" s="9" t="n">
        <v>50</v>
      </c>
      <c r="O18" s="9" t="n">
        <v>50</v>
      </c>
      <c r="P18" s="9" t="n">
        <v>50</v>
      </c>
      <c r="Q18" s="9" t="n">
        <v>50</v>
      </c>
      <c r="R18" s="9" t="n">
        <v>50</v>
      </c>
      <c r="S18" s="9" t="n">
        <v>50</v>
      </c>
      <c r="T18" s="9" t="n">
        <v>50</v>
      </c>
      <c r="U18" s="9" t="n">
        <v>50</v>
      </c>
      <c r="V18" s="10" t="inlineStr">
        <is>
          <t>0%</t>
        </is>
      </c>
      <c r="W18" s="40" t="inlineStr">
        <is>
          <t>Gender split in HECO</t>
        </is>
      </c>
    </row>
    <row r="19" ht="18" customHeight="1">
      <c r="A19" s="35" t="inlineStr">
        <is>
          <t>ENGAGEMENT OUTCOMES</t>
        </is>
      </c>
    </row>
    <row r="20" ht="22" customHeight="1">
      <c r="A20" s="39" t="inlineStr">
        <is>
          <t>Completion Rate - HEMP (%)</t>
        </is>
      </c>
      <c r="B20" s="9" t="n">
        <v>45</v>
      </c>
      <c r="C20" s="9" t="n">
        <v>50</v>
      </c>
      <c r="D20" s="9" t="n">
        <v>55</v>
      </c>
      <c r="E20" s="9" t="n">
        <v>58</v>
      </c>
      <c r="F20" s="9" t="n">
        <v>60</v>
      </c>
      <c r="G20" s="9" t="n">
        <v>60</v>
      </c>
      <c r="H20" s="9" t="n">
        <v>61</v>
      </c>
      <c r="I20" s="9" t="n">
        <v>62</v>
      </c>
      <c r="J20" s="9" t="n">
        <v>62</v>
      </c>
      <c r="K20" s="9" t="n">
        <v>62</v>
      </c>
      <c r="L20" s="9" t="n">
        <v>62</v>
      </c>
      <c r="M20" s="9" t="n">
        <v>62</v>
      </c>
      <c r="N20" s="9" t="n">
        <v>62</v>
      </c>
      <c r="O20" s="9" t="n">
        <v>62</v>
      </c>
      <c r="P20" s="9" t="n">
        <v>62</v>
      </c>
      <c r="Q20" s="9" t="n">
        <v>62</v>
      </c>
      <c r="R20" s="9" t="n">
        <v>62</v>
      </c>
      <c r="S20" s="9" t="n">
        <v>62</v>
      </c>
      <c r="T20" s="9" t="n">
        <v>62</v>
      </c>
      <c r="U20" s="9" t="n">
        <v>62</v>
      </c>
      <c r="V20" s="40" t="inlineStr">
        <is>
          <t>0%</t>
        </is>
      </c>
      <c r="W20" s="40" t="inlineStr">
        <is>
          <t>Programme completion rate</t>
        </is>
      </c>
    </row>
    <row r="21" ht="22" customHeight="1">
      <c r="A21" s="39" t="inlineStr">
        <is>
          <t>Completion Rate - HENT (%)</t>
        </is>
      </c>
      <c r="B21" s="9" t="n">
        <v>48</v>
      </c>
      <c r="C21" s="9" t="n">
        <v>52</v>
      </c>
      <c r="D21" s="9" t="n">
        <v>56</v>
      </c>
      <c r="E21" s="9" t="n">
        <v>60</v>
      </c>
      <c r="F21" s="9" t="n">
        <v>61</v>
      </c>
      <c r="G21" s="9" t="n">
        <v>61</v>
      </c>
      <c r="H21" s="9" t="n">
        <v>62</v>
      </c>
      <c r="I21" s="9" t="n">
        <v>62</v>
      </c>
      <c r="J21" s="9" t="n">
        <v>63</v>
      </c>
      <c r="K21" s="9" t="n">
        <v>63</v>
      </c>
      <c r="L21" s="9" t="n">
        <v>63</v>
      </c>
      <c r="M21" s="9" t="n">
        <v>63</v>
      </c>
      <c r="N21" s="9" t="n">
        <v>63</v>
      </c>
      <c r="O21" s="9" t="n">
        <v>63</v>
      </c>
      <c r="P21" s="9" t="n">
        <v>63</v>
      </c>
      <c r="Q21" s="9" t="n">
        <v>63</v>
      </c>
      <c r="R21" s="9" t="n">
        <v>63</v>
      </c>
      <c r="S21" s="9" t="n">
        <v>63</v>
      </c>
      <c r="T21" s="9" t="n">
        <v>63</v>
      </c>
      <c r="U21" s="9" t="n">
        <v>63</v>
      </c>
      <c r="V21" s="40" t="inlineStr">
        <is>
          <t>0%</t>
        </is>
      </c>
      <c r="W21" s="40" t="inlineStr">
        <is>
          <t>Entrepreneurship completion</t>
        </is>
      </c>
    </row>
    <row r="22" ht="22" customHeight="1">
      <c r="A22" s="39" t="inlineStr">
        <is>
          <t>Completion Rate - HECO (%)</t>
        </is>
      </c>
      <c r="B22" s="9" t="n">
        <v>50</v>
      </c>
      <c r="C22" s="9" t="n">
        <v>53</v>
      </c>
      <c r="D22" s="9" t="n">
        <v>56</v>
      </c>
      <c r="E22" s="9" t="n">
        <v>58</v>
      </c>
      <c r="F22" s="9" t="n">
        <v>59</v>
      </c>
      <c r="G22" s="9" t="n">
        <v>60</v>
      </c>
      <c r="H22" s="9" t="n">
        <v>60</v>
      </c>
      <c r="I22" s="9" t="n">
        <v>61</v>
      </c>
      <c r="J22" s="9" t="n">
        <v>61</v>
      </c>
      <c r="K22" s="9" t="n">
        <v>61</v>
      </c>
      <c r="L22" s="9" t="n">
        <v>61</v>
      </c>
      <c r="M22" s="9" t="n">
        <v>61</v>
      </c>
      <c r="N22" s="9" t="n">
        <v>61</v>
      </c>
      <c r="O22" s="9" t="n">
        <v>61</v>
      </c>
      <c r="P22" s="9" t="n">
        <v>61</v>
      </c>
      <c r="Q22" s="9" t="n">
        <v>61</v>
      </c>
      <c r="R22" s="9" t="n">
        <v>61</v>
      </c>
      <c r="S22" s="9" t="n">
        <v>61</v>
      </c>
      <c r="T22" s="9" t="n">
        <v>61</v>
      </c>
      <c r="U22" s="9" t="n">
        <v>61</v>
      </c>
      <c r="V22" s="40" t="inlineStr">
        <is>
          <t>0%</t>
        </is>
      </c>
      <c r="W22" s="40" t="inlineStr">
        <is>
          <t>Research &amp; innovation completion</t>
        </is>
      </c>
    </row>
    <row r="23" ht="22" customHeight="1">
      <c r="A23" s="39" t="inlineStr">
        <is>
          <t>Overall Completion Rate (%)</t>
        </is>
      </c>
      <c r="B23" s="9" t="n">
        <v>47</v>
      </c>
      <c r="C23" s="9" t="n">
        <v>51</v>
      </c>
      <c r="D23" s="9" t="n">
        <v>55</v>
      </c>
      <c r="E23" s="9" t="n">
        <v>58</v>
      </c>
      <c r="F23" s="9" t="n">
        <v>60</v>
      </c>
      <c r="G23" s="9" t="n">
        <v>60</v>
      </c>
      <c r="H23" s="9" t="n">
        <v>61</v>
      </c>
      <c r="I23" s="9" t="n">
        <v>61</v>
      </c>
      <c r="J23" s="9" t="n">
        <v>62</v>
      </c>
      <c r="K23" s="9" t="n">
        <v>62</v>
      </c>
      <c r="L23" s="9" t="n">
        <v>62</v>
      </c>
      <c r="M23" s="9" t="n">
        <v>62</v>
      </c>
      <c r="N23" s="9" t="n">
        <v>62</v>
      </c>
      <c r="O23" s="9" t="n">
        <v>62</v>
      </c>
      <c r="P23" s="9" t="n">
        <v>62</v>
      </c>
      <c r="Q23" s="9" t="n">
        <v>62</v>
      </c>
      <c r="R23" s="9" t="n">
        <v>60</v>
      </c>
      <c r="S23" s="9" t="n">
        <v>60</v>
      </c>
      <c r="T23" s="9" t="n">
        <v>60</v>
      </c>
      <c r="U23" s="9" t="n">
        <v>60</v>
      </c>
      <c r="V23" s="40" t="inlineStr">
        <is>
          <t>-3.2%</t>
        </is>
      </c>
      <c r="W23" s="40" t="inlineStr">
        <is>
          <t>Cross-programme average</t>
        </is>
      </c>
    </row>
    <row r="24" ht="22" customHeight="1">
      <c r="A24" s="39" t="inlineStr">
        <is>
          <t>Female Completion Rate (%)</t>
        </is>
      </c>
      <c r="B24" s="9" t="n">
        <v>50</v>
      </c>
      <c r="C24" s="9" t="n">
        <v>54</v>
      </c>
      <c r="D24" s="9" t="n">
        <v>58</v>
      </c>
      <c r="E24" s="9" t="n">
        <v>61</v>
      </c>
      <c r="F24" s="9" t="n">
        <v>62</v>
      </c>
      <c r="G24" s="9" t="n">
        <v>63</v>
      </c>
      <c r="H24" s="9" t="n">
        <v>64</v>
      </c>
      <c r="I24" s="9" t="n">
        <v>64</v>
      </c>
      <c r="J24" s="9" t="n">
        <v>65</v>
      </c>
      <c r="K24" s="9" t="n">
        <v>65</v>
      </c>
      <c r="L24" s="9" t="n">
        <v>65</v>
      </c>
      <c r="M24" s="9" t="n">
        <v>65</v>
      </c>
      <c r="N24" s="9" t="n">
        <v>65</v>
      </c>
      <c r="O24" s="9" t="n">
        <v>65</v>
      </c>
      <c r="P24" s="9" t="n">
        <v>65</v>
      </c>
      <c r="Q24" s="9" t="n">
        <v>65</v>
      </c>
      <c r="R24" s="9" t="n">
        <v>65</v>
      </c>
      <c r="S24" s="9" t="n">
        <v>65</v>
      </c>
      <c r="T24" s="9" t="n">
        <v>65</v>
      </c>
      <c r="U24" s="9" t="n">
        <v>65</v>
      </c>
      <c r="V24" s="40" t="inlineStr">
        <is>
          <t>+1.6%</t>
        </is>
      </c>
      <c r="W24" s="40" t="inlineStr">
        <is>
          <t>Female programme completion</t>
        </is>
      </c>
    </row>
    <row r="25" ht="18" customHeight="1">
      <c r="A25" s="35" t="inlineStr">
        <is>
          <t>PARTICIPATION BY INTERVENTION TYPE</t>
        </is>
      </c>
    </row>
    <row r="26" ht="22" customHeight="1">
      <c r="A26" s="39" t="inlineStr">
        <is>
          <t>HealthX</t>
        </is>
      </c>
      <c r="B26" s="8" t="n">
        <v>18</v>
      </c>
      <c r="C26" s="8" t="n">
        <v>32</v>
      </c>
      <c r="D26" s="8" t="n">
        <v>52</v>
      </c>
      <c r="E26" s="8" t="n">
        <v>72</v>
      </c>
      <c r="F26" s="8" t="n">
        <v>120</v>
      </c>
      <c r="G26" s="8" t="n">
        <v>150</v>
      </c>
      <c r="H26" s="8" t="n">
        <v>180</v>
      </c>
      <c r="I26" s="8" t="n">
        <v>200</v>
      </c>
      <c r="J26" s="8" t="n">
        <v>220</v>
      </c>
      <c r="K26" s="8" t="n">
        <v>240</v>
      </c>
      <c r="L26" s="8" t="n">
        <v>250</v>
      </c>
      <c r="M26" s="8" t="n">
        <v>256</v>
      </c>
      <c r="N26" s="8" t="n">
        <v>256</v>
      </c>
      <c r="O26" s="8" t="n">
        <v>256</v>
      </c>
      <c r="P26" s="8" t="n">
        <v>256</v>
      </c>
      <c r="Q26" s="8" t="n">
        <v>256</v>
      </c>
      <c r="R26" s="8" t="n">
        <v>256</v>
      </c>
      <c r="S26" s="8" t="n">
        <v>256</v>
      </c>
      <c r="T26" s="8" t="n">
        <v>256</v>
      </c>
      <c r="U26" s="8" t="n">
        <v>256</v>
      </c>
      <c r="V26" s="40" t="inlineStr">
        <is>
          <t>+28%</t>
        </is>
      </c>
      <c r="W26" s="40" t="inlineStr">
        <is>
          <t>HealthX participation trend</t>
        </is>
      </c>
    </row>
    <row r="27" ht="22" customHeight="1">
      <c r="A27" s="39" t="inlineStr">
        <is>
          <t>Masterclasses</t>
        </is>
      </c>
      <c r="B27" s="8" t="n">
        <v>12</v>
      </c>
      <c r="C27" s="8" t="n">
        <v>24</v>
      </c>
      <c r="D27" s="8" t="n">
        <v>42</v>
      </c>
      <c r="E27" s="8" t="n">
        <v>65</v>
      </c>
      <c r="F27" s="8" t="n">
        <v>95</v>
      </c>
      <c r="G27" s="8" t="n">
        <v>125</v>
      </c>
      <c r="H27" s="8" t="n">
        <v>150</v>
      </c>
      <c r="I27" s="8" t="n">
        <v>165</v>
      </c>
      <c r="J27" s="8" t="n">
        <v>170</v>
      </c>
      <c r="K27" s="8" t="n">
        <v>177</v>
      </c>
      <c r="L27" s="8" t="n">
        <v>181</v>
      </c>
      <c r="M27" s="8" t="n">
        <v>185</v>
      </c>
      <c r="N27" s="8" t="n">
        <v>185</v>
      </c>
      <c r="O27" s="8" t="n">
        <v>185</v>
      </c>
      <c r="P27" s="8" t="n">
        <v>185</v>
      </c>
      <c r="Q27" s="8" t="n">
        <v>185</v>
      </c>
      <c r="R27" s="8" t="n">
        <v>185</v>
      </c>
      <c r="S27" s="8" t="n">
        <v>185</v>
      </c>
      <c r="T27" s="8" t="n">
        <v>185</v>
      </c>
      <c r="U27" s="8" t="n">
        <v>185</v>
      </c>
      <c r="V27" s="40" t="inlineStr">
        <is>
          <t>+10.6%</t>
        </is>
      </c>
      <c r="W27" s="40" t="inlineStr">
        <is>
          <t>Masterclasses participation trend</t>
        </is>
      </c>
    </row>
    <row r="28" ht="22" customHeight="1">
      <c r="A28" s="39" t="inlineStr">
        <is>
          <t>Mission</t>
        </is>
      </c>
      <c r="B28" s="8" t="n">
        <v>8</v>
      </c>
      <c r="C28" s="8" t="n">
        <v>18</v>
      </c>
      <c r="D28" s="8" t="n">
        <v>38</v>
      </c>
      <c r="E28" s="8" t="n">
        <v>65</v>
      </c>
      <c r="F28" s="8" t="n">
        <v>95</v>
      </c>
      <c r="G28" s="8" t="n">
        <v>125</v>
      </c>
      <c r="H28" s="8" t="n">
        <v>145</v>
      </c>
      <c r="I28" s="8" t="n">
        <v>160</v>
      </c>
      <c r="J28" s="8" t="n">
        <v>165</v>
      </c>
      <c r="K28" s="8" t="n">
        <v>168</v>
      </c>
      <c r="L28" s="8" t="n">
        <v>169</v>
      </c>
      <c r="M28" s="8" t="n">
        <v>169</v>
      </c>
      <c r="N28" s="8" t="n">
        <v>169</v>
      </c>
      <c r="O28" s="8" t="n">
        <v>169</v>
      </c>
      <c r="P28" s="8" t="n">
        <v>169</v>
      </c>
      <c r="Q28" s="8" t="n">
        <v>169</v>
      </c>
      <c r="R28" s="8" t="n">
        <v>169</v>
      </c>
      <c r="S28" s="8" t="n">
        <v>169</v>
      </c>
      <c r="T28" s="8" t="n">
        <v>169</v>
      </c>
      <c r="U28" s="8" t="n">
        <v>169</v>
      </c>
      <c r="V28" s="40" t="inlineStr">
        <is>
          <t>+0.6%</t>
        </is>
      </c>
      <c r="W28" s="40" t="inlineStr">
        <is>
          <t>Mission participation trend</t>
        </is>
      </c>
    </row>
    <row r="29" ht="22" customHeight="1">
      <c r="A29" s="39" t="inlineStr">
        <is>
          <t>Mentorship</t>
        </is>
      </c>
      <c r="B29" s="8" t="n">
        <v>6</v>
      </c>
      <c r="C29" s="8" t="n">
        <v>16</v>
      </c>
      <c r="D29" s="8" t="n">
        <v>32</v>
      </c>
      <c r="E29" s="8" t="n">
        <v>55</v>
      </c>
      <c r="F29" s="8" t="n">
        <v>82</v>
      </c>
      <c r="G29" s="8" t="n">
        <v>105</v>
      </c>
      <c r="H29" s="8" t="n">
        <v>120</v>
      </c>
      <c r="I29" s="8" t="n">
        <v>132</v>
      </c>
      <c r="J29" s="8" t="n">
        <v>135</v>
      </c>
      <c r="K29" s="8" t="n">
        <v>137</v>
      </c>
      <c r="L29" s="8" t="n">
        <v>138</v>
      </c>
      <c r="M29" s="8" t="n">
        <v>138</v>
      </c>
      <c r="N29" s="8" t="n">
        <v>138</v>
      </c>
      <c r="O29" s="8" t="n">
        <v>138</v>
      </c>
      <c r="P29" s="8" t="n">
        <v>138</v>
      </c>
      <c r="Q29" s="8" t="n">
        <v>138</v>
      </c>
      <c r="R29" s="8" t="n">
        <v>138</v>
      </c>
      <c r="S29" s="8" t="n">
        <v>138</v>
      </c>
      <c r="T29" s="8" t="n">
        <v>138</v>
      </c>
      <c r="U29" s="8" t="n">
        <v>138</v>
      </c>
      <c r="V29" s="40" t="inlineStr">
        <is>
          <t>+4.5%</t>
        </is>
      </c>
      <c r="W29" s="40" t="inlineStr">
        <is>
          <t>Mentorship participation trend</t>
        </is>
      </c>
    </row>
    <row r="30" ht="22" customHeight="1">
      <c r="A30" s="39" t="inlineStr">
        <is>
          <t>Hackathons</t>
        </is>
      </c>
      <c r="B30" s="8" t="n">
        <v>4</v>
      </c>
      <c r="C30" s="8" t="n">
        <v>12</v>
      </c>
      <c r="D30" s="8" t="n">
        <v>28</v>
      </c>
      <c r="E30" s="8" t="n">
        <v>50</v>
      </c>
      <c r="F30" s="8" t="n">
        <v>72</v>
      </c>
      <c r="G30" s="8" t="n">
        <v>92</v>
      </c>
      <c r="H30" s="8" t="n">
        <v>110</v>
      </c>
      <c r="I30" s="8" t="n">
        <v>120</v>
      </c>
      <c r="J30" s="8" t="n">
        <v>121</v>
      </c>
      <c r="K30" s="8" t="n">
        <v>122</v>
      </c>
      <c r="L30" s="8" t="n">
        <v>123</v>
      </c>
      <c r="M30" s="8" t="n">
        <v>123</v>
      </c>
      <c r="N30" s="8" t="n">
        <v>123</v>
      </c>
      <c r="O30" s="8" t="n">
        <v>123</v>
      </c>
      <c r="P30" s="8" t="n">
        <v>123</v>
      </c>
      <c r="Q30" s="8" t="n">
        <v>123</v>
      </c>
      <c r="R30" s="8" t="n">
        <v>123</v>
      </c>
      <c r="S30" s="8" t="n">
        <v>123</v>
      </c>
      <c r="T30" s="8" t="n">
        <v>123</v>
      </c>
      <c r="U30" s="8" t="n">
        <v>123</v>
      </c>
      <c r="V30" s="40" t="inlineStr">
        <is>
          <t>+2.5%</t>
        </is>
      </c>
      <c r="W30" s="40" t="inlineStr">
        <is>
          <t>Hackathons participation trend</t>
        </is>
      </c>
    </row>
    <row r="31" ht="22" customHeight="1">
      <c r="A31" s="39" t="inlineStr">
        <is>
          <t>Field Visits</t>
        </is>
      </c>
      <c r="B31" s="8" t="n">
        <v>3</v>
      </c>
      <c r="C31" s="8" t="n">
        <v>8</v>
      </c>
      <c r="D31" s="8" t="n">
        <v>18</v>
      </c>
      <c r="E31" s="8" t="n">
        <v>35</v>
      </c>
      <c r="F31" s="8" t="n">
        <v>55</v>
      </c>
      <c r="G31" s="8" t="n">
        <v>72</v>
      </c>
      <c r="H31" s="8" t="n">
        <v>85</v>
      </c>
      <c r="I31" s="8" t="n">
        <v>95</v>
      </c>
      <c r="J31" s="8" t="n">
        <v>99</v>
      </c>
      <c r="K31" s="8" t="n">
        <v>100</v>
      </c>
      <c r="L31" s="8" t="n">
        <v>101</v>
      </c>
      <c r="M31" s="8" t="n">
        <v>101</v>
      </c>
      <c r="N31" s="8" t="n">
        <v>101</v>
      </c>
      <c r="O31" s="8" t="n">
        <v>101</v>
      </c>
      <c r="P31" s="8" t="n">
        <v>101</v>
      </c>
      <c r="Q31" s="8" t="n">
        <v>101</v>
      </c>
      <c r="R31" s="8" t="n">
        <v>101</v>
      </c>
      <c r="S31" s="8" t="n">
        <v>101</v>
      </c>
      <c r="T31" s="8" t="n">
        <v>101</v>
      </c>
      <c r="U31" s="8" t="n">
        <v>101</v>
      </c>
      <c r="V31" s="40" t="inlineStr">
        <is>
          <t>+6.3%</t>
        </is>
      </c>
      <c r="W31" s="40" t="inlineStr">
        <is>
          <t>Field Visits participation trend</t>
        </is>
      </c>
    </row>
    <row r="32" ht="22" customHeight="1">
      <c r="A32" s="39" t="inlineStr">
        <is>
          <t>Internships</t>
        </is>
      </c>
      <c r="B32" s="8" t="n">
        <v>2</v>
      </c>
      <c r="C32" s="8" t="n">
        <v>6</v>
      </c>
      <c r="D32" s="8" t="n">
        <v>14</v>
      </c>
      <c r="E32" s="8" t="n">
        <v>28</v>
      </c>
      <c r="F32" s="8" t="n">
        <v>42</v>
      </c>
      <c r="G32" s="8" t="n">
        <v>58</v>
      </c>
      <c r="H32" s="8" t="n">
        <v>66</v>
      </c>
      <c r="I32" s="8" t="n">
        <v>72</v>
      </c>
      <c r="J32" s="8" t="n">
        <v>72</v>
      </c>
      <c r="K32" s="8" t="n">
        <v>72</v>
      </c>
      <c r="L32" s="8" t="n">
        <v>72</v>
      </c>
      <c r="M32" s="8" t="n">
        <v>72</v>
      </c>
      <c r="N32" s="8" t="n">
        <v>72</v>
      </c>
      <c r="O32" s="8" t="n">
        <v>72</v>
      </c>
      <c r="P32" s="8" t="n">
        <v>72</v>
      </c>
      <c r="Q32" s="8" t="n">
        <v>72</v>
      </c>
      <c r="R32" s="8" t="n">
        <v>72</v>
      </c>
      <c r="S32" s="8" t="n">
        <v>72</v>
      </c>
      <c r="T32" s="8" t="n">
        <v>72</v>
      </c>
      <c r="U32" s="8" t="n">
        <v>72</v>
      </c>
      <c r="V32" s="40" t="inlineStr">
        <is>
          <t>0%</t>
        </is>
      </c>
      <c r="W32" s="40" t="inlineStr">
        <is>
          <t>Internships participation trend</t>
        </is>
      </c>
    </row>
  </sheetData>
  <mergeCells count="11">
    <mergeCell ref="A12:U12"/>
    <mergeCell ref="B4:E4"/>
    <mergeCell ref="R4:U4"/>
    <mergeCell ref="A2:U2"/>
    <mergeCell ref="A25:U25"/>
    <mergeCell ref="F4:I4"/>
    <mergeCell ref="J4:M4"/>
    <mergeCell ref="A19:U19"/>
    <mergeCell ref="N4:Q4"/>
    <mergeCell ref="A1:U1"/>
    <mergeCell ref="A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2" customWidth="1" min="22" max="22"/>
    <col width="20" customWidth="1" min="23" max="23"/>
  </cols>
  <sheetData>
    <row r="1" ht="25" customHeight="1">
      <c r="A1" s="4" t="inlineStr">
        <is>
          <t>CHII EXECUTIVE DASHBOARD - YOUTH IN WORK</t>
        </is>
      </c>
    </row>
    <row r="2">
      <c r="A2" s="34" t="inlineStr">
        <is>
          <t>Employment &amp; Work Pathways | Quarterly Trends (2022-2026)</t>
        </is>
      </c>
    </row>
    <row r="3" ht="18" customHeight="1">
      <c r="A3" s="35" t="inlineStr">
        <is>
          <t>WORK PATHWAYS &amp; EMPLOYMENT METRICS</t>
        </is>
      </c>
    </row>
    <row r="4">
      <c r="A4" s="36" t="inlineStr">
        <is>
          <t>Metric</t>
        </is>
      </c>
      <c r="B4" s="37" t="inlineStr">
        <is>
          <t>2022</t>
        </is>
      </c>
      <c r="C4" s="30" t="n"/>
      <c r="D4" s="30" t="n"/>
      <c r="E4" s="31" t="n"/>
      <c r="F4" s="37" t="inlineStr">
        <is>
          <t>2023</t>
        </is>
      </c>
      <c r="G4" s="30" t="n"/>
      <c r="H4" s="30" t="n"/>
      <c r="I4" s="31" t="n"/>
      <c r="J4" s="37" t="inlineStr">
        <is>
          <t>2024</t>
        </is>
      </c>
      <c r="K4" s="30" t="n"/>
      <c r="L4" s="30" t="n"/>
      <c r="M4" s="31" t="n"/>
      <c r="N4" s="37" t="inlineStr">
        <is>
          <t>2025</t>
        </is>
      </c>
      <c r="O4" s="30" t="n"/>
      <c r="P4" s="30" t="n"/>
      <c r="Q4" s="31" t="n"/>
      <c r="R4" s="37" t="inlineStr">
        <is>
          <t>2026</t>
        </is>
      </c>
      <c r="S4" s="30" t="n"/>
      <c r="T4" s="30" t="n"/>
      <c r="U4" s="31" t="n"/>
      <c r="V4" s="36" t="inlineStr">
        <is>
          <t>2026 YoY %</t>
        </is>
      </c>
      <c r="W4" s="36" t="inlineStr">
        <is>
          <t>Notes</t>
        </is>
      </c>
    </row>
    <row r="5" ht="16" customHeight="1">
      <c r="B5" s="38" t="inlineStr">
        <is>
          <t>Q1</t>
        </is>
      </c>
      <c r="C5" s="38" t="inlineStr">
        <is>
          <t>Q2</t>
        </is>
      </c>
      <c r="D5" s="38" t="inlineStr">
        <is>
          <t>Q3</t>
        </is>
      </c>
      <c r="E5" s="38" t="inlineStr">
        <is>
          <t>Q4</t>
        </is>
      </c>
      <c r="F5" s="38" t="inlineStr">
        <is>
          <t>Q1</t>
        </is>
      </c>
      <c r="G5" s="38" t="inlineStr">
        <is>
          <t>Q2</t>
        </is>
      </c>
      <c r="H5" s="38" t="inlineStr">
        <is>
          <t>Q3</t>
        </is>
      </c>
      <c r="I5" s="38" t="inlineStr">
        <is>
          <t>Q4</t>
        </is>
      </c>
      <c r="J5" s="38" t="inlineStr">
        <is>
          <t>Q1</t>
        </is>
      </c>
      <c r="K5" s="38" t="inlineStr">
        <is>
          <t>Q2</t>
        </is>
      </c>
      <c r="L5" s="38" t="inlineStr">
        <is>
          <t>Q3</t>
        </is>
      </c>
      <c r="M5" s="38" t="inlineStr">
        <is>
          <t>Q4</t>
        </is>
      </c>
      <c r="N5" s="38" t="inlineStr">
        <is>
          <t>Q1</t>
        </is>
      </c>
      <c r="O5" s="38" t="inlineStr">
        <is>
          <t>Q2</t>
        </is>
      </c>
      <c r="P5" s="38" t="inlineStr">
        <is>
          <t>Q3</t>
        </is>
      </c>
      <c r="Q5" s="38" t="inlineStr">
        <is>
          <t>Q4</t>
        </is>
      </c>
      <c r="R5" s="38" t="inlineStr">
        <is>
          <t>Q1</t>
        </is>
      </c>
      <c r="S5" s="38" t="inlineStr">
        <is>
          <t>Q2</t>
        </is>
      </c>
      <c r="T5" s="38" t="inlineStr">
        <is>
          <t>Q3</t>
        </is>
      </c>
      <c r="U5" s="38" t="inlineStr">
        <is>
          <t>Q4</t>
        </is>
      </c>
    </row>
    <row r="6" ht="22" customHeight="1">
      <c r="A6" s="39" t="inlineStr">
        <is>
          <t>Total Youth Tracked</t>
        </is>
      </c>
      <c r="B6" s="8" t="n">
        <v>120</v>
      </c>
      <c r="C6" s="8" t="n">
        <v>210</v>
      </c>
      <c r="D6" s="8" t="n">
        <v>340</v>
      </c>
      <c r="E6" s="8" t="n">
        <v>480</v>
      </c>
      <c r="F6" s="8" t="n">
        <v>600</v>
      </c>
      <c r="G6" s="8" t="n">
        <v>700</v>
      </c>
      <c r="H6" s="8" t="n">
        <v>750</v>
      </c>
      <c r="I6" s="8" t="n">
        <v>780</v>
      </c>
      <c r="J6" s="8" t="n">
        <v>800</v>
      </c>
      <c r="K6" s="8" t="n">
        <v>815</v>
      </c>
      <c r="L6" s="8" t="n">
        <v>820</v>
      </c>
      <c r="M6" s="8" t="n">
        <v>820</v>
      </c>
      <c r="N6" s="8" t="n">
        <v>820</v>
      </c>
      <c r="O6" s="8" t="n">
        <v>820</v>
      </c>
      <c r="P6" s="8" t="n">
        <v>820</v>
      </c>
      <c r="Q6" s="8" t="n">
        <v>820</v>
      </c>
      <c r="R6" s="8" t="n">
        <v>820</v>
      </c>
      <c r="S6" s="8" t="n">
        <v>820</v>
      </c>
      <c r="T6" s="8" t="n">
        <v>820</v>
      </c>
      <c r="U6" s="8" t="n">
        <v>820</v>
      </c>
      <c r="V6" s="10" t="inlineStr">
        <is>
          <t>0%</t>
        </is>
      </c>
      <c r="W6" s="40" t="inlineStr">
        <is>
          <t>Cumulative participants in work</t>
        </is>
      </c>
    </row>
    <row r="7" ht="22" customHeight="1">
      <c r="A7" s="39" t="inlineStr">
        <is>
          <t>In Employment (Wage)</t>
        </is>
      </c>
      <c r="B7" s="8" t="n">
        <v>45</v>
      </c>
      <c r="C7" s="8" t="n">
        <v>85</v>
      </c>
      <c r="D7" s="8" t="n">
        <v>145</v>
      </c>
      <c r="E7" s="8" t="n">
        <v>205</v>
      </c>
      <c r="F7" s="8" t="n">
        <v>260</v>
      </c>
      <c r="G7" s="8" t="n">
        <v>290</v>
      </c>
      <c r="H7" s="8" t="n">
        <v>320</v>
      </c>
      <c r="I7" s="8" t="n">
        <v>345</v>
      </c>
      <c r="J7" s="8" t="n">
        <v>360</v>
      </c>
      <c r="K7" s="8" t="n">
        <v>361</v>
      </c>
      <c r="L7" s="8" t="n">
        <v>362</v>
      </c>
      <c r="M7" s="8" t="n">
        <v>363</v>
      </c>
      <c r="N7" s="8" t="n">
        <v>363</v>
      </c>
      <c r="O7" s="8" t="n">
        <v>363</v>
      </c>
      <c r="P7" s="8" t="n">
        <v>363</v>
      </c>
      <c r="Q7" s="8" t="n">
        <v>363</v>
      </c>
      <c r="R7" s="8" t="n">
        <v>363</v>
      </c>
      <c r="S7" s="8" t="n">
        <v>363</v>
      </c>
      <c r="T7" s="8" t="n">
        <v>363</v>
      </c>
      <c r="U7" s="8" t="n">
        <v>363</v>
      </c>
      <c r="V7" s="10" t="inlineStr">
        <is>
          <t>+0.3%</t>
        </is>
      </c>
      <c r="W7" s="40" t="inlineStr">
        <is>
          <t>Wage employment pathway</t>
        </is>
      </c>
    </row>
    <row r="8" ht="22" customHeight="1">
      <c r="A8" s="39" t="inlineStr">
        <is>
          <t>In Internships</t>
        </is>
      </c>
      <c r="B8" s="8" t="n">
        <v>12</v>
      </c>
      <c r="C8" s="8" t="n">
        <v>22</v>
      </c>
      <c r="D8" s="8" t="n">
        <v>38</v>
      </c>
      <c r="E8" s="8" t="n">
        <v>55</v>
      </c>
      <c r="F8" s="8" t="n">
        <v>75</v>
      </c>
      <c r="G8" s="8" t="n">
        <v>92</v>
      </c>
      <c r="H8" s="8" t="n">
        <v>105</v>
      </c>
      <c r="I8" s="8" t="n">
        <v>115</v>
      </c>
      <c r="J8" s="8" t="n">
        <v>120</v>
      </c>
      <c r="K8" s="8" t="n">
        <v>122</v>
      </c>
      <c r="L8" s="8" t="n">
        <v>123</v>
      </c>
      <c r="M8" s="8" t="n">
        <v>124</v>
      </c>
      <c r="N8" s="8" t="n">
        <v>124</v>
      </c>
      <c r="O8" s="8" t="n">
        <v>124</v>
      </c>
      <c r="P8" s="8" t="n">
        <v>124</v>
      </c>
      <c r="Q8" s="8" t="n">
        <v>124</v>
      </c>
      <c r="R8" s="8" t="n">
        <v>124</v>
      </c>
      <c r="S8" s="8" t="n">
        <v>124</v>
      </c>
      <c r="T8" s="8" t="n">
        <v>124</v>
      </c>
      <c r="U8" s="8" t="n">
        <v>124</v>
      </c>
      <c r="V8" s="10" t="inlineStr">
        <is>
          <t>+0.8%</t>
        </is>
      </c>
      <c r="W8" s="40" t="inlineStr">
        <is>
          <t>Internship placements</t>
        </is>
      </c>
    </row>
    <row r="9" ht="22" customHeight="1">
      <c r="A9" s="39" t="inlineStr">
        <is>
          <t>Enterprise (Self-employment)</t>
        </is>
      </c>
      <c r="B9" s="8" t="n">
        <v>8</v>
      </c>
      <c r="C9" s="8" t="n">
        <v>18</v>
      </c>
      <c r="D9" s="8" t="n">
        <v>35</v>
      </c>
      <c r="E9" s="8" t="n">
        <v>58</v>
      </c>
      <c r="F9" s="8" t="n">
        <v>85</v>
      </c>
      <c r="G9" s="8" t="n">
        <v>105</v>
      </c>
      <c r="H9" s="8" t="n">
        <v>120</v>
      </c>
      <c r="I9" s="8" t="n">
        <v>132</v>
      </c>
      <c r="J9" s="8" t="n">
        <v>138</v>
      </c>
      <c r="K9" s="8" t="n">
        <v>138</v>
      </c>
      <c r="L9" s="8" t="n">
        <v>139</v>
      </c>
      <c r="M9" s="8" t="n">
        <v>139</v>
      </c>
      <c r="N9" s="8" t="n">
        <v>139</v>
      </c>
      <c r="O9" s="8" t="n">
        <v>139</v>
      </c>
      <c r="P9" s="8" t="n">
        <v>139</v>
      </c>
      <c r="Q9" s="8" t="n">
        <v>139</v>
      </c>
      <c r="R9" s="8" t="n">
        <v>139</v>
      </c>
      <c r="S9" s="8" t="n">
        <v>139</v>
      </c>
      <c r="T9" s="8" t="n">
        <v>139</v>
      </c>
      <c r="U9" s="8" t="n">
        <v>139</v>
      </c>
      <c r="V9" s="10" t="inlineStr">
        <is>
          <t>+0.7%</t>
        </is>
      </c>
      <c r="W9" s="40" t="inlineStr">
        <is>
          <t>Business owners / entrepreneurs</t>
        </is>
      </c>
    </row>
    <row r="10" ht="22" customHeight="1">
      <c r="A10" s="39" t="inlineStr">
        <is>
          <t>Female Share (%)</t>
        </is>
      </c>
      <c r="B10" s="9" t="n">
        <v>48</v>
      </c>
      <c r="C10" s="9" t="n">
        <v>50</v>
      </c>
      <c r="D10" s="9" t="n">
        <v>52</v>
      </c>
      <c r="E10" s="9" t="n">
        <v>54</v>
      </c>
      <c r="F10" s="9" t="n">
        <v>55</v>
      </c>
      <c r="G10" s="9" t="n">
        <v>55</v>
      </c>
      <c r="H10" s="9" t="n">
        <v>55</v>
      </c>
      <c r="I10" s="9" t="n">
        <v>55</v>
      </c>
      <c r="J10" s="9" t="n">
        <v>55</v>
      </c>
      <c r="K10" s="9" t="n">
        <v>55</v>
      </c>
      <c r="L10" s="9" t="n">
        <v>55</v>
      </c>
      <c r="M10" s="9" t="n">
        <v>55</v>
      </c>
      <c r="N10" s="9" t="n">
        <v>55</v>
      </c>
      <c r="O10" s="9" t="n">
        <v>55</v>
      </c>
      <c r="P10" s="9" t="n">
        <v>55</v>
      </c>
      <c r="Q10" s="9" t="n">
        <v>55</v>
      </c>
      <c r="R10" s="9" t="n">
        <v>55</v>
      </c>
      <c r="S10" s="9" t="n">
        <v>55</v>
      </c>
      <c r="T10" s="9" t="n">
        <v>55</v>
      </c>
      <c r="U10" s="9" t="n">
        <v>55</v>
      </c>
      <c r="V10" s="10" t="inlineStr">
        <is>
          <t>0%</t>
        </is>
      </c>
      <c r="W10" s="40" t="inlineStr">
        <is>
          <t>Female participation rate</t>
        </is>
      </c>
    </row>
    <row r="11" ht="22" customHeight="1">
      <c r="A11" s="39" t="inlineStr">
        <is>
          <t>Based in Africa (%)</t>
        </is>
      </c>
      <c r="B11" s="9" t="n">
        <v>85</v>
      </c>
      <c r="C11" s="9" t="n">
        <v>87</v>
      </c>
      <c r="D11" s="9" t="n">
        <v>89</v>
      </c>
      <c r="E11" s="9" t="n">
        <v>90</v>
      </c>
      <c r="F11" s="9" t="n">
        <v>91</v>
      </c>
      <c r="G11" s="9" t="n">
        <v>91</v>
      </c>
      <c r="H11" s="9" t="n">
        <v>91</v>
      </c>
      <c r="I11" s="9" t="n">
        <v>92</v>
      </c>
      <c r="J11" s="9" t="n">
        <v>92</v>
      </c>
      <c r="K11" s="9" t="n">
        <v>92</v>
      </c>
      <c r="L11" s="9" t="n">
        <v>92</v>
      </c>
      <c r="M11" s="9" t="n">
        <v>92</v>
      </c>
      <c r="N11" s="9" t="n">
        <v>92</v>
      </c>
      <c r="O11" s="9" t="n">
        <v>92</v>
      </c>
      <c r="P11" s="9" t="n">
        <v>92</v>
      </c>
      <c r="Q11" s="9" t="n">
        <v>92</v>
      </c>
      <c r="R11" s="9" t="n">
        <v>92</v>
      </c>
      <c r="S11" s="9" t="n">
        <v>92</v>
      </c>
      <c r="T11" s="9" t="n">
        <v>92</v>
      </c>
      <c r="U11" s="9" t="n">
        <v>92</v>
      </c>
      <c r="V11" s="10" t="inlineStr">
        <is>
          <t>0%</t>
        </is>
      </c>
      <c r="W11" s="40" t="inlineStr">
        <is>
          <t>Geographic distribution</t>
        </is>
      </c>
    </row>
    <row r="12" ht="18" customHeight="1">
      <c r="A12" s="35" t="inlineStr">
        <is>
          <t>JOBS CREATED &amp; EMPLOYMENT OPPORTUNITIES</t>
        </is>
      </c>
    </row>
    <row r="13" ht="22" customHeight="1">
      <c r="A13" s="39" t="inlineStr">
        <is>
          <t>Total Jobs Created</t>
        </is>
      </c>
      <c r="B13" s="8" t="n">
        <v>85</v>
      </c>
      <c r="C13" s="8" t="n">
        <v>165</v>
      </c>
      <c r="D13" s="8" t="n">
        <v>285</v>
      </c>
      <c r="E13" s="8" t="n">
        <v>425</v>
      </c>
      <c r="F13" s="8" t="n">
        <v>580</v>
      </c>
      <c r="G13" s="8" t="n">
        <v>710</v>
      </c>
      <c r="H13" s="8" t="n">
        <v>790</v>
      </c>
      <c r="I13" s="8" t="n">
        <v>850</v>
      </c>
      <c r="J13" s="8" t="n">
        <v>880</v>
      </c>
      <c r="K13" s="8" t="n">
        <v>888</v>
      </c>
      <c r="L13" s="8" t="n">
        <v>893</v>
      </c>
      <c r="M13" s="8" t="n">
        <v>898</v>
      </c>
      <c r="N13" s="8" t="n">
        <v>898</v>
      </c>
      <c r="O13" s="8" t="n">
        <v>898</v>
      </c>
      <c r="P13" s="8" t="n">
        <v>898</v>
      </c>
      <c r="Q13" s="8" t="n">
        <v>898</v>
      </c>
      <c r="R13" s="8" t="n">
        <v>898</v>
      </c>
      <c r="S13" s="8" t="n">
        <v>898</v>
      </c>
      <c r="T13" s="8" t="n">
        <v>898</v>
      </c>
      <c r="U13" s="8" t="n">
        <v>898</v>
      </c>
      <c r="V13" s="40" t="inlineStr">
        <is>
          <t>0%</t>
        </is>
      </c>
      <c r="W13" s="40" t="inlineStr">
        <is>
          <t>All jobs created by ventures</t>
        </is>
      </c>
    </row>
    <row r="14" ht="22" customHeight="1">
      <c r="A14" s="39" t="inlineStr">
        <is>
          <t>Primary Jobs (Full-time equivalent)</t>
        </is>
      </c>
      <c r="B14" s="8" t="n">
        <v>35</v>
      </c>
      <c r="C14" s="8" t="n">
        <v>75</v>
      </c>
      <c r="D14" s="8" t="n">
        <v>135</v>
      </c>
      <c r="E14" s="8" t="n">
        <v>205</v>
      </c>
      <c r="F14" s="8" t="n">
        <v>280</v>
      </c>
      <c r="G14" s="8" t="n">
        <v>350</v>
      </c>
      <c r="H14" s="8" t="n">
        <v>390</v>
      </c>
      <c r="I14" s="8" t="n">
        <v>420</v>
      </c>
      <c r="J14" s="8" t="n">
        <v>450</v>
      </c>
      <c r="K14" s="8" t="n">
        <v>462</v>
      </c>
      <c r="L14" s="8" t="n">
        <v>470</v>
      </c>
      <c r="M14" s="8" t="n">
        <v>476</v>
      </c>
      <c r="N14" s="8" t="n">
        <v>476</v>
      </c>
      <c r="O14" s="8" t="n">
        <v>476</v>
      </c>
      <c r="P14" s="8" t="n">
        <v>476</v>
      </c>
      <c r="Q14" s="8" t="n">
        <v>476</v>
      </c>
      <c r="R14" s="8" t="n">
        <v>476</v>
      </c>
      <c r="S14" s="8" t="n">
        <v>476</v>
      </c>
      <c r="T14" s="8" t="n">
        <v>476</v>
      </c>
      <c r="U14" s="8" t="n">
        <v>476</v>
      </c>
      <c r="V14" s="40" t="inlineStr">
        <is>
          <t>0%</t>
        </is>
      </c>
      <c r="W14" s="40" t="inlineStr">
        <is>
          <t>Main employment positions</t>
        </is>
      </c>
    </row>
    <row r="15" ht="22" customHeight="1">
      <c r="A15" s="39" t="inlineStr">
        <is>
          <t>Secondary Jobs (Additional roles)</t>
        </is>
      </c>
      <c r="B15" s="8" t="n">
        <v>8</v>
      </c>
      <c r="C15" s="8" t="n">
        <v>18</v>
      </c>
      <c r="D15" s="8" t="n">
        <v>35</v>
      </c>
      <c r="E15" s="8" t="n">
        <v>58</v>
      </c>
      <c r="F15" s="8" t="n">
        <v>82</v>
      </c>
      <c r="G15" s="8" t="n">
        <v>98</v>
      </c>
      <c r="H15" s="8" t="n">
        <v>105</v>
      </c>
      <c r="I15" s="8" t="n">
        <v>110</v>
      </c>
      <c r="J15" s="8" t="n">
        <v>115</v>
      </c>
      <c r="K15" s="8" t="n">
        <v>115</v>
      </c>
      <c r="L15" s="8" t="n">
        <v>116</v>
      </c>
      <c r="M15" s="8" t="n">
        <v>116</v>
      </c>
      <c r="N15" s="8" t="n">
        <v>116</v>
      </c>
      <c r="O15" s="8" t="n">
        <v>116</v>
      </c>
      <c r="P15" s="8" t="n">
        <v>116</v>
      </c>
      <c r="Q15" s="8" t="n">
        <v>116</v>
      </c>
      <c r="R15" s="8" t="n">
        <v>116</v>
      </c>
      <c r="S15" s="8" t="n">
        <v>116</v>
      </c>
      <c r="T15" s="8" t="n">
        <v>116</v>
      </c>
      <c r="U15" s="8" t="n">
        <v>116</v>
      </c>
      <c r="V15" s="40" t="inlineStr">
        <is>
          <t>+5.5%</t>
        </is>
      </c>
      <c r="W15" s="40" t="inlineStr">
        <is>
          <t>Secondary/part-time positions</t>
        </is>
      </c>
    </row>
    <row r="16" ht="22" customHeight="1">
      <c r="A16" s="39" t="inlineStr">
        <is>
          <t>Female in Primary Jobs</t>
        </is>
      </c>
      <c r="B16" s="8" t="n">
        <v>18</v>
      </c>
      <c r="C16" s="8" t="n">
        <v>38</v>
      </c>
      <c r="D16" s="8" t="n">
        <v>68</v>
      </c>
      <c r="E16" s="8" t="n">
        <v>108</v>
      </c>
      <c r="F16" s="8" t="n">
        <v>145</v>
      </c>
      <c r="G16" s="8" t="n">
        <v>180</v>
      </c>
      <c r="H16" s="8" t="n">
        <v>210</v>
      </c>
      <c r="I16" s="8" t="n">
        <v>240</v>
      </c>
      <c r="J16" s="8" t="n">
        <v>260</v>
      </c>
      <c r="K16" s="8" t="n">
        <v>266</v>
      </c>
      <c r="L16" s="8" t="n">
        <v>269</v>
      </c>
      <c r="M16" s="8" t="n">
        <v>270</v>
      </c>
      <c r="N16" s="8" t="n">
        <v>270</v>
      </c>
      <c r="O16" s="8" t="n">
        <v>270</v>
      </c>
      <c r="P16" s="8" t="n">
        <v>270</v>
      </c>
      <c r="Q16" s="8" t="n">
        <v>270</v>
      </c>
      <c r="R16" s="8" t="n">
        <v>270</v>
      </c>
      <c r="S16" s="8" t="n">
        <v>270</v>
      </c>
      <c r="T16" s="8" t="n">
        <v>270</v>
      </c>
      <c r="U16" s="8" t="n">
        <v>270</v>
      </c>
      <c r="V16" s="40" t="inlineStr">
        <is>
          <t>0%</t>
        </is>
      </c>
      <c r="W16" s="40" t="inlineStr">
        <is>
          <t>Female employment in primary roles</t>
        </is>
      </c>
    </row>
    <row r="17" ht="22" customHeight="1">
      <c r="A17" s="39" t="inlineStr">
        <is>
          <t>Female in Secondary Jobs</t>
        </is>
      </c>
      <c r="B17" s="8" t="n">
        <v>2</v>
      </c>
      <c r="C17" s="8" t="n">
        <v>5</v>
      </c>
      <c r="D17" s="8" t="n">
        <v>12</v>
      </c>
      <c r="E17" s="8" t="n">
        <v>22</v>
      </c>
      <c r="F17" s="8" t="n">
        <v>35</v>
      </c>
      <c r="G17" s="8" t="n">
        <v>45</v>
      </c>
      <c r="H17" s="8" t="n">
        <v>55</v>
      </c>
      <c r="I17" s="8" t="n">
        <v>63</v>
      </c>
      <c r="J17" s="8" t="n">
        <v>65</v>
      </c>
      <c r="K17" s="8" t="n">
        <v>65</v>
      </c>
      <c r="L17" s="8" t="n">
        <v>65</v>
      </c>
      <c r="M17" s="8" t="n">
        <v>65</v>
      </c>
      <c r="N17" s="8" t="n">
        <v>65</v>
      </c>
      <c r="O17" s="8" t="n">
        <v>65</v>
      </c>
      <c r="P17" s="8" t="n">
        <v>65</v>
      </c>
      <c r="Q17" s="8" t="n">
        <v>65</v>
      </c>
      <c r="R17" s="8" t="n">
        <v>65</v>
      </c>
      <c r="S17" s="8" t="n">
        <v>65</v>
      </c>
      <c r="T17" s="8" t="n">
        <v>65</v>
      </c>
      <c r="U17" s="8" t="n">
        <v>65</v>
      </c>
      <c r="V17" s="40" t="inlineStr">
        <is>
          <t>3.2%</t>
        </is>
      </c>
      <c r="W17" s="40" t="inlineStr">
        <is>
          <t>Female secondary employment</t>
        </is>
      </c>
    </row>
    <row r="18" ht="18" customHeight="1">
      <c r="A18" s="35" t="inlineStr">
        <is>
          <t>JOB CATEGORIES - TYPE OF WORK CREATED</t>
        </is>
      </c>
    </row>
    <row r="19" ht="22" customHeight="1">
      <c r="A19" s="39" t="inlineStr">
        <is>
          <t>Full-time Positions</t>
        </is>
      </c>
      <c r="B19" s="8" t="n">
        <v>35</v>
      </c>
      <c r="C19" s="8" t="n">
        <v>65</v>
      </c>
      <c r="D19" s="8" t="n">
        <v>115</v>
      </c>
      <c r="E19" s="8" t="n">
        <v>165</v>
      </c>
      <c r="F19" s="8" t="n">
        <v>210</v>
      </c>
      <c r="G19" s="8" t="n">
        <v>250</v>
      </c>
      <c r="H19" s="8" t="n">
        <v>275</v>
      </c>
      <c r="I19" s="8" t="n">
        <v>290</v>
      </c>
      <c r="J19" s="8" t="n">
        <v>215</v>
      </c>
      <c r="K19" s="8" t="n">
        <v>220</v>
      </c>
      <c r="L19" s="8" t="n">
        <v>225</v>
      </c>
      <c r="M19" s="8" t="n">
        <v>227</v>
      </c>
      <c r="N19" s="8" t="n">
        <v>227</v>
      </c>
      <c r="O19" s="8" t="n">
        <v>227</v>
      </c>
      <c r="P19" s="8" t="n">
        <v>227</v>
      </c>
      <c r="Q19" s="8" t="n">
        <v>227</v>
      </c>
      <c r="R19" s="8" t="n">
        <v>227</v>
      </c>
      <c r="S19" s="8" t="n">
        <v>227</v>
      </c>
      <c r="T19" s="8" t="n">
        <v>227</v>
      </c>
      <c r="U19" s="8" t="n">
        <v>227</v>
      </c>
      <c r="V19" s="40" t="inlineStr">
        <is>
          <t>24.7%</t>
        </is>
      </c>
      <c r="W19" s="40" t="inlineStr">
        <is>
          <t>Full-time Positions trend</t>
        </is>
      </c>
    </row>
    <row r="20" ht="22" customHeight="1">
      <c r="A20" s="39" t="inlineStr">
        <is>
          <t>Part-time Positions</t>
        </is>
      </c>
      <c r="B20" s="8" t="n">
        <v>8</v>
      </c>
      <c r="C20" s="8" t="n">
        <v>15</v>
      </c>
      <c r="D20" s="8" t="n">
        <v>25</v>
      </c>
      <c r="E20" s="8" t="n">
        <v>38</v>
      </c>
      <c r="F20" s="8" t="n">
        <v>48</v>
      </c>
      <c r="G20" s="8" t="n">
        <v>55</v>
      </c>
      <c r="H20" s="8" t="n">
        <v>58</v>
      </c>
      <c r="I20" s="8" t="n">
        <v>60</v>
      </c>
      <c r="J20" s="8" t="n">
        <v>60</v>
      </c>
      <c r="K20" s="8" t="n">
        <v>60</v>
      </c>
      <c r="L20" s="8" t="n">
        <v>61</v>
      </c>
      <c r="M20" s="8" t="n">
        <v>61</v>
      </c>
      <c r="N20" s="8" t="n">
        <v>61</v>
      </c>
      <c r="O20" s="8" t="n">
        <v>61</v>
      </c>
      <c r="P20" s="8" t="n">
        <v>61</v>
      </c>
      <c r="Q20" s="8" t="n">
        <v>61</v>
      </c>
      <c r="R20" s="8" t="n">
        <v>61</v>
      </c>
      <c r="S20" s="8" t="n">
        <v>61</v>
      </c>
      <c r="T20" s="8" t="n">
        <v>61</v>
      </c>
      <c r="U20" s="8" t="n">
        <v>61</v>
      </c>
      <c r="V20" s="40" t="inlineStr">
        <is>
          <t>+1.7%</t>
        </is>
      </c>
      <c r="W20" s="40" t="inlineStr">
        <is>
          <t>Part-time Positions trend</t>
        </is>
      </c>
    </row>
    <row r="21" ht="22" customHeight="1">
      <c r="A21" s="39" t="inlineStr">
        <is>
          <t>Contract Roles</t>
        </is>
      </c>
      <c r="B21" s="8" t="n">
        <v>5</v>
      </c>
      <c r="C21" s="8" t="n">
        <v>12</v>
      </c>
      <c r="D21" s="8" t="n">
        <v>22</v>
      </c>
      <c r="E21" s="8" t="n">
        <v>35</v>
      </c>
      <c r="F21" s="8" t="n">
        <v>48</v>
      </c>
      <c r="G21" s="8" t="n">
        <v>50</v>
      </c>
      <c r="H21" s="8" t="n">
        <v>48</v>
      </c>
      <c r="I21" s="8" t="n">
        <v>48</v>
      </c>
      <c r="J21" s="8" t="n">
        <v>48</v>
      </c>
      <c r="K21" s="8" t="n">
        <v>48</v>
      </c>
      <c r="L21" s="8" t="n">
        <v>49</v>
      </c>
      <c r="M21" s="8" t="n">
        <v>49</v>
      </c>
      <c r="N21" s="8" t="n">
        <v>49</v>
      </c>
      <c r="O21" s="8" t="n">
        <v>49</v>
      </c>
      <c r="P21" s="8" t="n">
        <v>49</v>
      </c>
      <c r="Q21" s="8" t="n">
        <v>49</v>
      </c>
      <c r="R21" s="8" t="n">
        <v>49</v>
      </c>
      <c r="S21" s="8" t="n">
        <v>49</v>
      </c>
      <c r="T21" s="8" t="n">
        <v>49</v>
      </c>
      <c r="U21" s="8" t="n">
        <v>49</v>
      </c>
      <c r="V21" s="40" t="inlineStr">
        <is>
          <t>+4.3%</t>
        </is>
      </c>
      <c r="W21" s="40" t="inlineStr">
        <is>
          <t>Contract Roles trend</t>
        </is>
      </c>
    </row>
    <row r="22" ht="22" customHeight="1">
      <c r="A22" s="39" t="inlineStr">
        <is>
          <t>Internship Positions</t>
        </is>
      </c>
      <c r="B22" s="8" t="n">
        <v>12</v>
      </c>
      <c r="C22" s="8" t="n">
        <v>22</v>
      </c>
      <c r="D22" s="8" t="n">
        <v>38</v>
      </c>
      <c r="E22" s="8" t="n">
        <v>55</v>
      </c>
      <c r="F22" s="8" t="n">
        <v>75</v>
      </c>
      <c r="G22" s="8" t="n">
        <v>92</v>
      </c>
      <c r="H22" s="8" t="n">
        <v>105</v>
      </c>
      <c r="I22" s="8" t="n">
        <v>115</v>
      </c>
      <c r="J22" s="8" t="n">
        <v>120</v>
      </c>
      <c r="K22" s="8" t="n">
        <v>122</v>
      </c>
      <c r="L22" s="8" t="n">
        <v>123</v>
      </c>
      <c r="M22" s="8" t="n">
        <v>124</v>
      </c>
      <c r="N22" s="8" t="n">
        <v>124</v>
      </c>
      <c r="O22" s="8" t="n">
        <v>124</v>
      </c>
      <c r="P22" s="8" t="n">
        <v>124</v>
      </c>
      <c r="Q22" s="8" t="n">
        <v>124</v>
      </c>
      <c r="R22" s="8" t="n">
        <v>124</v>
      </c>
      <c r="S22" s="8" t="n">
        <v>124</v>
      </c>
      <c r="T22" s="8" t="n">
        <v>124</v>
      </c>
      <c r="U22" s="8" t="n">
        <v>124</v>
      </c>
      <c r="V22" s="40" t="inlineStr">
        <is>
          <t>+0.8%</t>
        </is>
      </c>
      <c r="W22" s="40" t="inlineStr">
        <is>
          <t>Internship Positions trend</t>
        </is>
      </c>
    </row>
    <row r="23" ht="22" customHeight="1">
      <c r="A23" s="39" t="inlineStr">
        <is>
          <t>Enterprise Jobs</t>
        </is>
      </c>
      <c r="B23" s="8" t="n">
        <v>8</v>
      </c>
      <c r="C23" s="8" t="n">
        <v>18</v>
      </c>
      <c r="D23" s="8" t="n">
        <v>35</v>
      </c>
      <c r="E23" s="8" t="n">
        <v>58</v>
      </c>
      <c r="F23" s="8" t="n">
        <v>85</v>
      </c>
      <c r="G23" s="8" t="n">
        <v>105</v>
      </c>
      <c r="H23" s="8" t="n">
        <v>120</v>
      </c>
      <c r="I23" s="8" t="n">
        <v>132</v>
      </c>
      <c r="J23" s="8" t="n">
        <v>138</v>
      </c>
      <c r="K23" s="8" t="n">
        <v>138</v>
      </c>
      <c r="L23" s="8" t="n">
        <v>139</v>
      </c>
      <c r="M23" s="8" t="n">
        <v>139</v>
      </c>
      <c r="N23" s="8" t="n">
        <v>139</v>
      </c>
      <c r="O23" s="8" t="n">
        <v>139</v>
      </c>
      <c r="P23" s="8" t="n">
        <v>139</v>
      </c>
      <c r="Q23" s="8" t="n">
        <v>139</v>
      </c>
      <c r="R23" s="8" t="n">
        <v>139</v>
      </c>
      <c r="S23" s="8" t="n">
        <v>139</v>
      </c>
      <c r="T23" s="8" t="n">
        <v>139</v>
      </c>
      <c r="U23" s="8" t="n">
        <v>139</v>
      </c>
      <c r="V23" s="40" t="inlineStr">
        <is>
          <t>+0.7%</t>
        </is>
      </c>
      <c r="W23" s="40" t="inlineStr">
        <is>
          <t>Enterprise Jobs trend</t>
        </is>
      </c>
    </row>
    <row r="24" ht="22" customHeight="1">
      <c r="A24" s="39" t="inlineStr">
        <is>
          <t>New Job Categories</t>
        </is>
      </c>
      <c r="B24" s="8" t="n">
        <v>28</v>
      </c>
      <c r="C24" s="8" t="n">
        <v>58</v>
      </c>
      <c r="D24" s="8" t="n">
        <v>98</v>
      </c>
      <c r="E24" s="8" t="n">
        <v>145</v>
      </c>
      <c r="F24" s="8" t="n">
        <v>190</v>
      </c>
      <c r="G24" s="8" t="n">
        <v>210</v>
      </c>
      <c r="H24" s="8" t="n">
        <v>218</v>
      </c>
      <c r="I24" s="8" t="n">
        <v>219</v>
      </c>
      <c r="J24" s="8" t="n">
        <v>219</v>
      </c>
      <c r="K24" s="8" t="n">
        <v>219</v>
      </c>
      <c r="L24" s="8" t="n">
        <v>219</v>
      </c>
      <c r="M24" s="8" t="n">
        <v>219</v>
      </c>
      <c r="N24" s="8" t="n">
        <v>219</v>
      </c>
      <c r="O24" s="8" t="n">
        <v>219</v>
      </c>
      <c r="P24" s="8" t="n">
        <v>219</v>
      </c>
      <c r="Q24" s="8" t="n">
        <v>219</v>
      </c>
      <c r="R24" s="8" t="n">
        <v>219</v>
      </c>
      <c r="S24" s="8" t="n">
        <v>219</v>
      </c>
      <c r="T24" s="8" t="n">
        <v>219</v>
      </c>
      <c r="U24" s="8" t="n">
        <v>219</v>
      </c>
      <c r="V24" s="40" t="inlineStr">
        <is>
          <t>0%</t>
        </is>
      </c>
      <c r="W24" s="40" t="inlineStr">
        <is>
          <t>New Job Categories trend</t>
        </is>
      </c>
    </row>
    <row r="25" ht="22" customHeight="1">
      <c r="A25" s="39" t="inlineStr">
        <is>
          <t>Additional/Expanded Roles</t>
        </is>
      </c>
      <c r="B25" s="8" t="n">
        <v>18</v>
      </c>
      <c r="C25" s="8" t="n">
        <v>35</v>
      </c>
      <c r="D25" s="8" t="n">
        <v>62</v>
      </c>
      <c r="E25" s="8" t="n">
        <v>95</v>
      </c>
      <c r="F25" s="8" t="n">
        <v>125</v>
      </c>
      <c r="G25" s="8" t="n">
        <v>138</v>
      </c>
      <c r="H25" s="8" t="n">
        <v>141</v>
      </c>
      <c r="I25" s="8" t="n">
        <v>143</v>
      </c>
      <c r="J25" s="8" t="n">
        <v>143</v>
      </c>
      <c r="K25" s="8" t="n">
        <v>143</v>
      </c>
      <c r="L25" s="8" t="n">
        <v>143</v>
      </c>
      <c r="M25" s="8" t="n">
        <v>143</v>
      </c>
      <c r="N25" s="8" t="n">
        <v>143</v>
      </c>
      <c r="O25" s="8" t="n">
        <v>143</v>
      </c>
      <c r="P25" s="8" t="n">
        <v>143</v>
      </c>
      <c r="Q25" s="8" t="n">
        <v>143</v>
      </c>
      <c r="R25" s="8" t="n">
        <v>143</v>
      </c>
      <c r="S25" s="8" t="n">
        <v>143</v>
      </c>
      <c r="T25" s="8" t="n">
        <v>143</v>
      </c>
      <c r="U25" s="8" t="n">
        <v>143</v>
      </c>
      <c r="V25" s="40" t="inlineStr">
        <is>
          <t>0%</t>
        </is>
      </c>
      <c r="W25" s="40" t="inlineStr">
        <is>
          <t>Additional/Expanded Roles trend</t>
        </is>
      </c>
    </row>
    <row r="26" ht="18" customHeight="1">
      <c r="A26" s="35" t="inlineStr">
        <is>
          <t>INCLUSION &amp; PRIORITY GROUPS</t>
        </is>
      </c>
    </row>
    <row r="27" ht="22" customHeight="1">
      <c r="A27" s="39" t="inlineStr">
        <is>
          <t>Female Employment</t>
        </is>
      </c>
      <c r="B27" s="8" t="n">
        <v>65</v>
      </c>
      <c r="C27" s="8" t="n">
        <v>105</v>
      </c>
      <c r="D27" s="8" t="n">
        <v>155</v>
      </c>
      <c r="E27" s="8" t="n">
        <v>205</v>
      </c>
      <c r="F27" s="8" t="n">
        <v>260</v>
      </c>
      <c r="G27" s="8" t="n">
        <v>290</v>
      </c>
      <c r="H27" s="8" t="n">
        <v>300</v>
      </c>
      <c r="I27" s="8" t="n">
        <v>310</v>
      </c>
      <c r="J27" s="8" t="n">
        <v>325</v>
      </c>
      <c r="K27" s="8" t="n">
        <v>330</v>
      </c>
      <c r="L27" s="8" t="n">
        <v>335</v>
      </c>
      <c r="M27" s="8" t="n">
        <v>340</v>
      </c>
      <c r="N27" s="8" t="n">
        <v>340</v>
      </c>
      <c r="O27" s="8" t="n">
        <v>340</v>
      </c>
      <c r="P27" s="8" t="n">
        <v>340</v>
      </c>
      <c r="Q27" s="8" t="n">
        <v>340</v>
      </c>
      <c r="R27" s="8" t="n">
        <v>340</v>
      </c>
      <c r="S27" s="8" t="n">
        <v>340</v>
      </c>
      <c r="T27" s="8" t="n">
        <v>340</v>
      </c>
      <c r="U27" s="8" t="n">
        <v>340</v>
      </c>
      <c r="V27" s="40" t="inlineStr">
        <is>
          <t>-34.3%</t>
        </is>
      </c>
      <c r="W27" s="40" t="inlineStr">
        <is>
          <t>Female participants employed</t>
        </is>
      </c>
    </row>
    <row r="28" ht="22" customHeight="1">
      <c r="A28" s="39" t="inlineStr">
        <is>
          <t>Refugee / IDP Employment</t>
        </is>
      </c>
      <c r="B28" s="8" t="n">
        <v>5</v>
      </c>
      <c r="C28" s="8" t="n">
        <v>10</v>
      </c>
      <c r="D28" s="8" t="n">
        <v>18</v>
      </c>
      <c r="E28" s="8" t="n">
        <v>28</v>
      </c>
      <c r="F28" s="8" t="n">
        <v>40</v>
      </c>
      <c r="G28" s="8" t="n">
        <v>50</v>
      </c>
      <c r="H28" s="8" t="n">
        <v>58</v>
      </c>
      <c r="I28" s="8" t="n">
        <v>68</v>
      </c>
      <c r="J28" s="8" t="n">
        <v>75</v>
      </c>
      <c r="K28" s="8" t="n">
        <v>80</v>
      </c>
      <c r="L28" s="8" t="n">
        <v>85</v>
      </c>
      <c r="M28" s="8" t="n">
        <v>92</v>
      </c>
      <c r="N28" s="8" t="n">
        <v>100</v>
      </c>
      <c r="O28" s="8" t="n">
        <v>110</v>
      </c>
      <c r="P28" s="8" t="n">
        <v>115</v>
      </c>
      <c r="Q28" s="8" t="n">
        <v>120</v>
      </c>
      <c r="R28" s="8" t="n">
        <v>115</v>
      </c>
      <c r="S28" s="8" t="n">
        <v>115</v>
      </c>
      <c r="T28" s="8" t="n">
        <v>115</v>
      </c>
      <c r="U28" s="8" t="n">
        <v>115</v>
      </c>
      <c r="V28" s="40" t="inlineStr">
        <is>
          <t>+21.3%</t>
        </is>
      </c>
      <c r="W28" s="40" t="inlineStr">
        <is>
          <t>Displaced population in work</t>
        </is>
      </c>
    </row>
    <row r="29" ht="22" customHeight="1">
      <c r="A29" s="39" t="inlineStr">
        <is>
          <t>Persons with Disability Employment</t>
        </is>
      </c>
      <c r="B29" s="8" t="n">
        <v>2</v>
      </c>
      <c r="C29" s="8" t="n">
        <v>4</v>
      </c>
      <c r="D29" s="8" t="n">
        <v>8</v>
      </c>
      <c r="E29" s="8" t="n">
        <v>12</v>
      </c>
      <c r="F29" s="8" t="n">
        <v>16</v>
      </c>
      <c r="G29" s="8" t="n">
        <v>19</v>
      </c>
      <c r="H29" s="8" t="n">
        <v>21</v>
      </c>
      <c r="I29" s="8" t="n">
        <v>23</v>
      </c>
      <c r="J29" s="8" t="n">
        <v>24</v>
      </c>
      <c r="K29" s="8" t="n">
        <v>24</v>
      </c>
      <c r="L29" s="8" t="n">
        <v>24</v>
      </c>
      <c r="M29" s="8" t="n">
        <v>24</v>
      </c>
      <c r="N29" s="8" t="n">
        <v>24</v>
      </c>
      <c r="O29" s="8" t="n">
        <v>24</v>
      </c>
      <c r="P29" s="8" t="n">
        <v>24</v>
      </c>
      <c r="Q29" s="8" t="n">
        <v>24</v>
      </c>
      <c r="R29" s="8" t="n">
        <v>24</v>
      </c>
      <c r="S29" s="8" t="n">
        <v>24</v>
      </c>
      <c r="T29" s="8" t="n">
        <v>24</v>
      </c>
      <c r="U29" s="8" t="n">
        <v>24</v>
      </c>
      <c r="V29" s="40" t="inlineStr">
        <is>
          <t>+26.1%</t>
        </is>
      </c>
      <c r="W29" s="40" t="inlineStr">
        <is>
          <t>PWD employment rate</t>
        </is>
      </c>
    </row>
    <row r="30" ht="22" customHeight="1">
      <c r="A30" s="39" t="inlineStr">
        <is>
          <t>MCF Scholars in Work</t>
        </is>
      </c>
      <c r="B30" s="8" t="n">
        <v>15</v>
      </c>
      <c r="C30" s="8" t="n">
        <v>28</v>
      </c>
      <c r="D30" s="8" t="n">
        <v>45</v>
      </c>
      <c r="E30" s="8" t="n">
        <v>68</v>
      </c>
      <c r="F30" s="8" t="n">
        <v>95</v>
      </c>
      <c r="G30" s="8" t="n">
        <v>115</v>
      </c>
      <c r="H30" s="8" t="n">
        <v>130</v>
      </c>
      <c r="I30" s="8" t="n">
        <v>145</v>
      </c>
      <c r="J30" s="8" t="n">
        <v>160</v>
      </c>
      <c r="K30" s="8" t="n">
        <v>170</v>
      </c>
      <c r="L30" s="8" t="n">
        <v>185</v>
      </c>
      <c r="M30" s="8" t="n">
        <v>200</v>
      </c>
      <c r="N30" s="8" t="n">
        <v>210</v>
      </c>
      <c r="O30" s="8" t="n">
        <v>220</v>
      </c>
      <c r="P30" s="8" t="n">
        <v>225</v>
      </c>
      <c r="Q30" s="8" t="n">
        <v>230</v>
      </c>
      <c r="R30" s="8" t="n">
        <v>230</v>
      </c>
      <c r="S30" s="8" t="n">
        <v>230</v>
      </c>
      <c r="T30" s="8" t="n">
        <v>230</v>
      </c>
      <c r="U30" s="8" t="n">
        <v>230</v>
      </c>
      <c r="V30" s="40" t="inlineStr">
        <is>
          <t>+59.2%</t>
        </is>
      </c>
      <c r="W30" s="40" t="inlineStr">
        <is>
          <t>Mastercard Foundation scholars employed</t>
        </is>
      </c>
    </row>
    <row r="31" ht="18" customHeight="1">
      <c r="A31" s="35" t="inlineStr">
        <is>
          <t>QUALITY OF WORK - DECENT WORK INDICATORS</t>
        </is>
      </c>
    </row>
    <row r="32" ht="22" customHeight="1">
      <c r="A32" s="39" t="inlineStr">
        <is>
          <t>Reliable Income Score (0-100)</t>
        </is>
      </c>
      <c r="B32" s="9" t="n">
        <v>45</v>
      </c>
      <c r="C32" s="9" t="n">
        <v>50</v>
      </c>
      <c r="D32" s="9" t="n">
        <v>55</v>
      </c>
      <c r="E32" s="9" t="n">
        <v>60</v>
      </c>
      <c r="F32" s="9" t="n">
        <v>65</v>
      </c>
      <c r="G32" s="9" t="n">
        <v>68</v>
      </c>
      <c r="H32" s="9" t="n">
        <v>70</v>
      </c>
      <c r="I32" s="9" t="n">
        <v>70</v>
      </c>
      <c r="J32" s="9" t="n">
        <v>71</v>
      </c>
      <c r="K32" s="9" t="n">
        <v>71</v>
      </c>
      <c r="L32" s="9" t="n">
        <v>71</v>
      </c>
      <c r="M32" s="9" t="n">
        <v>71</v>
      </c>
      <c r="N32" s="9" t="n">
        <v>71</v>
      </c>
      <c r="O32" s="9" t="n">
        <v>71</v>
      </c>
      <c r="P32" s="9" t="n">
        <v>71</v>
      </c>
      <c r="Q32" s="9" t="n">
        <v>71</v>
      </c>
      <c r="R32" s="9" t="n">
        <v>71</v>
      </c>
      <c r="S32" s="9" t="n">
        <v>71</v>
      </c>
      <c r="T32" s="9" t="n">
        <v>71</v>
      </c>
      <c r="U32" s="9" t="n">
        <v>71</v>
      </c>
      <c r="V32" s="40" t="inlineStr">
        <is>
          <t>0%</t>
        </is>
      </c>
      <c r="W32" s="40" t="inlineStr">
        <is>
          <t>Income stability rating</t>
        </is>
      </c>
    </row>
    <row r="33" ht="22" customHeight="1">
      <c r="A33" s="39" t="inlineStr">
        <is>
          <t>Sense of Purpose Score (0-100)</t>
        </is>
      </c>
      <c r="B33" s="9" t="n">
        <v>65</v>
      </c>
      <c r="C33" s="9" t="n">
        <v>72</v>
      </c>
      <c r="D33" s="9" t="n">
        <v>78</v>
      </c>
      <c r="E33" s="9" t="n">
        <v>82</v>
      </c>
      <c r="F33" s="9" t="n">
        <v>84</v>
      </c>
      <c r="G33" s="9" t="n">
        <v>85</v>
      </c>
      <c r="H33" s="9" t="n">
        <v>87</v>
      </c>
      <c r="I33" s="9" t="n">
        <v>88</v>
      </c>
      <c r="J33" s="9" t="n">
        <v>88</v>
      </c>
      <c r="K33" s="9" t="n">
        <v>88</v>
      </c>
      <c r="L33" s="9" t="n">
        <v>88</v>
      </c>
      <c r="M33" s="9" t="n">
        <v>88</v>
      </c>
      <c r="N33" s="9" t="n">
        <v>88</v>
      </c>
      <c r="O33" s="9" t="n">
        <v>88</v>
      </c>
      <c r="P33" s="9" t="n">
        <v>88</v>
      </c>
      <c r="Q33" s="9" t="n">
        <v>88</v>
      </c>
      <c r="R33" s="9" t="n">
        <v>88</v>
      </c>
      <c r="S33" s="9" t="n">
        <v>88</v>
      </c>
      <c r="T33" s="9" t="n">
        <v>88</v>
      </c>
      <c r="U33" s="9" t="n">
        <v>88</v>
      </c>
      <c r="V33" s="40" t="inlineStr">
        <is>
          <t>0%</t>
        </is>
      </c>
      <c r="W33" s="40" t="inlineStr">
        <is>
          <t>Work meaning &amp; fulfillment</t>
        </is>
      </c>
    </row>
    <row r="34" ht="22" customHeight="1">
      <c r="A34" s="39" t="inlineStr">
        <is>
          <t>Workplace Respect Score (0-100)</t>
        </is>
      </c>
      <c r="B34" s="9" t="n">
        <v>68</v>
      </c>
      <c r="C34" s="9" t="n">
        <v>74</v>
      </c>
      <c r="D34" s="9" t="n">
        <v>80</v>
      </c>
      <c r="E34" s="9" t="n">
        <v>85</v>
      </c>
      <c r="F34" s="9" t="n">
        <v>87</v>
      </c>
      <c r="G34" s="9" t="n">
        <v>88</v>
      </c>
      <c r="H34" s="9" t="n">
        <v>89</v>
      </c>
      <c r="I34" s="9" t="n">
        <v>90</v>
      </c>
      <c r="J34" s="9" t="n">
        <v>90</v>
      </c>
      <c r="K34" s="9" t="n">
        <v>90</v>
      </c>
      <c r="L34" s="9" t="n">
        <v>90</v>
      </c>
      <c r="M34" s="9" t="n">
        <v>90</v>
      </c>
      <c r="N34" s="9" t="n">
        <v>90</v>
      </c>
      <c r="O34" s="9" t="n">
        <v>90</v>
      </c>
      <c r="P34" s="9" t="n">
        <v>90</v>
      </c>
      <c r="Q34" s="9" t="n">
        <v>90</v>
      </c>
      <c r="R34" s="9" t="n">
        <v>90</v>
      </c>
      <c r="S34" s="9" t="n">
        <v>90</v>
      </c>
      <c r="T34" s="9" t="n">
        <v>90</v>
      </c>
      <c r="U34" s="9" t="n">
        <v>90</v>
      </c>
      <c r="V34" s="40" t="inlineStr">
        <is>
          <t>0%</t>
        </is>
      </c>
      <c r="W34" s="40" t="inlineStr">
        <is>
          <t>Professional respect/dignity</t>
        </is>
      </c>
    </row>
    <row r="35" ht="22" customHeight="1">
      <c r="A35" s="39" t="inlineStr">
        <is>
          <t>Reputation Score (0-100)</t>
        </is>
      </c>
      <c r="B35" s="9" t="n">
        <v>62</v>
      </c>
      <c r="C35" s="9" t="n">
        <v>70</v>
      </c>
      <c r="D35" s="9" t="n">
        <v>76</v>
      </c>
      <c r="E35" s="9" t="n">
        <v>80</v>
      </c>
      <c r="F35" s="9" t="n">
        <v>82</v>
      </c>
      <c r="G35" s="9" t="n">
        <v>83</v>
      </c>
      <c r="H35" s="9" t="n">
        <v>83</v>
      </c>
      <c r="I35" s="9" t="n">
        <v>84</v>
      </c>
      <c r="J35" s="9" t="n">
        <v>84</v>
      </c>
      <c r="K35" s="9" t="n">
        <v>84</v>
      </c>
      <c r="L35" s="9" t="n">
        <v>84</v>
      </c>
      <c r="M35" s="9" t="n">
        <v>84</v>
      </c>
      <c r="N35" s="9" t="n">
        <v>84</v>
      </c>
      <c r="O35" s="9" t="n">
        <v>84</v>
      </c>
      <c r="P35" s="9" t="n">
        <v>84</v>
      </c>
      <c r="Q35" s="9" t="n">
        <v>84</v>
      </c>
      <c r="R35" s="9" t="n">
        <v>84</v>
      </c>
      <c r="S35" s="9" t="n">
        <v>84</v>
      </c>
      <c r="T35" s="9" t="n">
        <v>84</v>
      </c>
      <c r="U35" s="9" t="n">
        <v>84</v>
      </c>
      <c r="V35" s="40" t="inlineStr">
        <is>
          <t>0%</t>
        </is>
      </c>
      <c r="W35" s="40" t="inlineStr">
        <is>
          <t>Professional reputation/growth</t>
        </is>
      </c>
    </row>
  </sheetData>
  <mergeCells count="12">
    <mergeCell ref="A12:U12"/>
    <mergeCell ref="A26:U26"/>
    <mergeCell ref="B4:E4"/>
    <mergeCell ref="R4:U4"/>
    <mergeCell ref="A2:U2"/>
    <mergeCell ref="F4:I4"/>
    <mergeCell ref="J4:M4"/>
    <mergeCell ref="N4:Q4"/>
    <mergeCell ref="A1:U1"/>
    <mergeCell ref="A18:U18"/>
    <mergeCell ref="A31:U31"/>
    <mergeCell ref="A3:U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2" customWidth="1" min="22" max="22"/>
    <col width="20" customWidth="1" min="23" max="23"/>
  </cols>
  <sheetData>
    <row r="1" ht="25" customHeight="1">
      <c r="A1" s="4" t="inlineStr">
        <is>
          <t>CHII EXECUTIVE DASHBOARD - WAGE EMPLOYMENT</t>
        </is>
      </c>
    </row>
    <row r="2">
      <c r="A2" s="34" t="inlineStr">
        <is>
          <t>Employment Quality &amp; Outcomes | Quarterly Trends (2022-2026)</t>
        </is>
      </c>
    </row>
    <row r="3" ht="18" customHeight="1">
      <c r="A3" s="35" t="inlineStr">
        <is>
          <t>WAGE EMPLOYMENT OVERVIEW &amp; METRICS</t>
        </is>
      </c>
    </row>
    <row r="4">
      <c r="A4" s="36" t="inlineStr">
        <is>
          <t>Metric</t>
        </is>
      </c>
      <c r="B4" s="37" t="inlineStr">
        <is>
          <t>2022</t>
        </is>
      </c>
      <c r="C4" s="30" t="n"/>
      <c r="D4" s="30" t="n"/>
      <c r="E4" s="31" t="n"/>
      <c r="F4" s="37" t="inlineStr">
        <is>
          <t>2023</t>
        </is>
      </c>
      <c r="G4" s="30" t="n"/>
      <c r="H4" s="30" t="n"/>
      <c r="I4" s="31" t="n"/>
      <c r="J4" s="37" t="inlineStr">
        <is>
          <t>2024</t>
        </is>
      </c>
      <c r="K4" s="30" t="n"/>
      <c r="L4" s="30" t="n"/>
      <c r="M4" s="31" t="n"/>
      <c r="N4" s="37" t="inlineStr">
        <is>
          <t>2025</t>
        </is>
      </c>
      <c r="O4" s="30" t="n"/>
      <c r="P4" s="30" t="n"/>
      <c r="Q4" s="31" t="n"/>
      <c r="R4" s="37" t="inlineStr">
        <is>
          <t>2026</t>
        </is>
      </c>
      <c r="S4" s="30" t="n"/>
      <c r="T4" s="30" t="n"/>
      <c r="U4" s="31" t="n"/>
      <c r="V4" s="36" t="inlineStr">
        <is>
          <t>2026 YoY %</t>
        </is>
      </c>
      <c r="W4" s="36" t="inlineStr">
        <is>
          <t>Notes</t>
        </is>
      </c>
    </row>
    <row r="5" ht="16" customHeight="1">
      <c r="B5" s="38" t="inlineStr">
        <is>
          <t>Q1</t>
        </is>
      </c>
      <c r="C5" s="38" t="inlineStr">
        <is>
          <t>Q2</t>
        </is>
      </c>
      <c r="D5" s="38" t="inlineStr">
        <is>
          <t>Q3</t>
        </is>
      </c>
      <c r="E5" s="38" t="inlineStr">
        <is>
          <t>Q4</t>
        </is>
      </c>
      <c r="F5" s="38" t="inlineStr">
        <is>
          <t>Q1</t>
        </is>
      </c>
      <c r="G5" s="38" t="inlineStr">
        <is>
          <t>Q2</t>
        </is>
      </c>
      <c r="H5" s="38" t="inlineStr">
        <is>
          <t>Q3</t>
        </is>
      </c>
      <c r="I5" s="38" t="inlineStr">
        <is>
          <t>Q4</t>
        </is>
      </c>
      <c r="J5" s="38" t="inlineStr">
        <is>
          <t>Q1</t>
        </is>
      </c>
      <c r="K5" s="38" t="inlineStr">
        <is>
          <t>Q2</t>
        </is>
      </c>
      <c r="L5" s="38" t="inlineStr">
        <is>
          <t>Q3</t>
        </is>
      </c>
      <c r="M5" s="38" t="inlineStr">
        <is>
          <t>Q4</t>
        </is>
      </c>
      <c r="N5" s="38" t="inlineStr">
        <is>
          <t>Q1</t>
        </is>
      </c>
      <c r="O5" s="38" t="inlineStr">
        <is>
          <t>Q2</t>
        </is>
      </c>
      <c r="P5" s="38" t="inlineStr">
        <is>
          <t>Q3</t>
        </is>
      </c>
      <c r="Q5" s="38" t="inlineStr">
        <is>
          <t>Q4</t>
        </is>
      </c>
      <c r="R5" s="38" t="inlineStr">
        <is>
          <t>Q1</t>
        </is>
      </c>
      <c r="S5" s="38" t="inlineStr">
        <is>
          <t>Q2</t>
        </is>
      </c>
      <c r="T5" s="38" t="inlineStr">
        <is>
          <t>Q3</t>
        </is>
      </c>
      <c r="U5" s="38" t="inlineStr">
        <is>
          <t>Q4</t>
        </is>
      </c>
    </row>
    <row r="6" ht="22" customHeight="1">
      <c r="A6" s="39" t="inlineStr">
        <is>
          <t>Total Wage Employed</t>
        </is>
      </c>
      <c r="B6" s="8" t="n">
        <v>95</v>
      </c>
      <c r="C6" s="8" t="n">
        <v>165</v>
      </c>
      <c r="D6" s="8" t="n">
        <v>265</v>
      </c>
      <c r="E6" s="8" t="n">
        <v>385</v>
      </c>
      <c r="F6" s="8" t="n">
        <v>480</v>
      </c>
      <c r="G6" s="8" t="n">
        <v>545</v>
      </c>
      <c r="H6" s="8" t="n">
        <v>580</v>
      </c>
      <c r="I6" s="8" t="n">
        <v>600</v>
      </c>
      <c r="J6" s="8" t="n">
        <v>610</v>
      </c>
      <c r="K6" s="8" t="n">
        <v>620</v>
      </c>
      <c r="L6" s="8" t="n">
        <v>630</v>
      </c>
      <c r="M6" s="8" t="n">
        <v>640</v>
      </c>
      <c r="N6" s="8" t="n">
        <v>640</v>
      </c>
      <c r="O6" s="8" t="n">
        <v>640</v>
      </c>
      <c r="P6" s="8" t="n">
        <v>640</v>
      </c>
      <c r="Q6" s="8" t="n">
        <v>640</v>
      </c>
      <c r="R6" s="8" t="n">
        <v>640</v>
      </c>
      <c r="S6" s="8" t="n">
        <v>640</v>
      </c>
      <c r="T6" s="8" t="n">
        <v>640</v>
      </c>
      <c r="U6" s="8" t="n">
        <v>640</v>
      </c>
      <c r="V6" s="40" t="inlineStr">
        <is>
          <t>0%</t>
        </is>
      </c>
      <c r="W6" s="40" t="inlineStr">
        <is>
          <t>Wage employment placements</t>
        </is>
      </c>
    </row>
    <row r="7" ht="22" customHeight="1">
      <c r="A7" s="39" t="inlineStr">
        <is>
          <t>Female Wage Employed</t>
        </is>
      </c>
      <c r="B7" s="8" t="n">
        <v>48</v>
      </c>
      <c r="C7" s="8" t="n">
        <v>85</v>
      </c>
      <c r="D7" s="8" t="n">
        <v>140</v>
      </c>
      <c r="E7" s="8" t="n">
        <v>205</v>
      </c>
      <c r="F7" s="8" t="n">
        <v>270</v>
      </c>
      <c r="G7" s="8" t="n">
        <v>305</v>
      </c>
      <c r="H7" s="8" t="n">
        <v>330</v>
      </c>
      <c r="I7" s="8" t="n">
        <v>350</v>
      </c>
      <c r="J7" s="8" t="n">
        <v>360</v>
      </c>
      <c r="K7" s="8" t="n">
        <v>363</v>
      </c>
      <c r="L7" s="8" t="n">
        <v>334</v>
      </c>
      <c r="M7" s="8" t="n">
        <v>334</v>
      </c>
      <c r="N7" s="8" t="n">
        <v>334</v>
      </c>
      <c r="O7" s="8" t="n">
        <v>334</v>
      </c>
      <c r="P7" s="8" t="n">
        <v>334</v>
      </c>
      <c r="Q7" s="8" t="n">
        <v>334</v>
      </c>
      <c r="R7" s="8" t="n">
        <v>334</v>
      </c>
      <c r="S7" s="8" t="n">
        <v>334</v>
      </c>
      <c r="T7" s="8" t="n">
        <v>334</v>
      </c>
      <c r="U7" s="8" t="n">
        <v>334</v>
      </c>
      <c r="V7" s="40" t="inlineStr">
        <is>
          <t>-4.6%</t>
        </is>
      </c>
      <c r="W7" s="40" t="inlineStr">
        <is>
          <t>Female wage employment</t>
        </is>
      </c>
    </row>
    <row r="8" ht="22" customHeight="1">
      <c r="A8" s="39" t="inlineStr">
        <is>
          <t>12-Month Placement Rate (%)</t>
        </is>
      </c>
      <c r="B8" s="9" t="n">
        <v>35</v>
      </c>
      <c r="C8" s="9" t="n">
        <v>40</v>
      </c>
      <c r="D8" s="9" t="n">
        <v>48</v>
      </c>
      <c r="E8" s="9" t="n">
        <v>55</v>
      </c>
      <c r="F8" s="9" t="n">
        <v>60</v>
      </c>
      <c r="G8" s="9" t="n">
        <v>63</v>
      </c>
      <c r="H8" s="9" t="n">
        <v>65</v>
      </c>
      <c r="I8" s="9" t="n">
        <v>68</v>
      </c>
      <c r="J8" s="9" t="n">
        <v>69</v>
      </c>
      <c r="K8" s="9" t="n">
        <v>69</v>
      </c>
      <c r="L8" s="9" t="n">
        <v>70</v>
      </c>
      <c r="M8" s="9" t="n">
        <v>70</v>
      </c>
      <c r="N8" s="9" t="n">
        <v>70</v>
      </c>
      <c r="O8" s="9" t="n">
        <v>70</v>
      </c>
      <c r="P8" s="9" t="n">
        <v>70</v>
      </c>
      <c r="Q8" s="9" t="n">
        <v>70</v>
      </c>
      <c r="R8" s="9" t="n">
        <v>70</v>
      </c>
      <c r="S8" s="9" t="n">
        <v>70</v>
      </c>
      <c r="T8" s="9" t="n">
        <v>70</v>
      </c>
      <c r="U8" s="9" t="n">
        <v>70</v>
      </c>
      <c r="V8" s="40" t="inlineStr">
        <is>
          <t>0%</t>
        </is>
      </c>
      <c r="W8" s="40" t="inlineStr">
        <is>
          <t>Employed within 12 months</t>
        </is>
      </c>
    </row>
    <row r="9" ht="22" customHeight="1">
      <c r="A9" s="39" t="inlineStr">
        <is>
          <t>Decent Work Rate (%)</t>
        </is>
      </c>
      <c r="B9" s="9" t="n">
        <v>52</v>
      </c>
      <c r="C9" s="9" t="n">
        <v>58</v>
      </c>
      <c r="D9" s="9" t="n">
        <v>64</v>
      </c>
      <c r="E9" s="9" t="n">
        <v>68</v>
      </c>
      <c r="F9" s="9" t="n">
        <v>70</v>
      </c>
      <c r="G9" s="9" t="n">
        <v>72</v>
      </c>
      <c r="H9" s="9" t="n">
        <v>74</v>
      </c>
      <c r="I9" s="9" t="n">
        <v>75</v>
      </c>
      <c r="J9" s="9" t="n">
        <v>75</v>
      </c>
      <c r="K9" s="9" t="n">
        <v>75</v>
      </c>
      <c r="L9" s="9" t="n">
        <v>76</v>
      </c>
      <c r="M9" s="9" t="n">
        <v>76</v>
      </c>
      <c r="N9" s="9" t="n">
        <v>76</v>
      </c>
      <c r="O9" s="9" t="n">
        <v>76</v>
      </c>
      <c r="P9" s="9" t="n">
        <v>76</v>
      </c>
      <c r="Q9" s="9" t="n">
        <v>76</v>
      </c>
      <c r="R9" s="9" t="n">
        <v>76</v>
      </c>
      <c r="S9" s="9" t="n">
        <v>76</v>
      </c>
      <c r="T9" s="9" t="n">
        <v>76</v>
      </c>
      <c r="U9" s="9" t="n">
        <v>76</v>
      </c>
      <c r="V9" s="40" t="inlineStr">
        <is>
          <t>+1.3%</t>
        </is>
      </c>
      <c r="W9" s="40" t="inlineStr">
        <is>
          <t>Quality employment standard</t>
        </is>
      </c>
    </row>
    <row r="10" ht="22" customHeight="1">
      <c r="A10" s="39" t="inlineStr">
        <is>
          <t>Tech Roles (%)</t>
        </is>
      </c>
      <c r="B10" s="9" t="n">
        <v>8</v>
      </c>
      <c r="C10" s="9" t="n">
        <v>10</v>
      </c>
      <c r="D10" s="9" t="n">
        <v>12</v>
      </c>
      <c r="E10" s="9" t="n">
        <v>14</v>
      </c>
      <c r="F10" s="9" t="n">
        <v>16</v>
      </c>
      <c r="G10" s="9" t="n">
        <v>17</v>
      </c>
      <c r="H10" s="9" t="n">
        <v>18</v>
      </c>
      <c r="I10" s="9" t="n">
        <v>19</v>
      </c>
      <c r="J10" s="9" t="n">
        <v>20</v>
      </c>
      <c r="K10" s="9" t="n">
        <v>20</v>
      </c>
      <c r="L10" s="9" t="n">
        <v>20</v>
      </c>
      <c r="M10" s="9" t="n">
        <v>20</v>
      </c>
      <c r="N10" s="9" t="n">
        <v>20</v>
      </c>
      <c r="O10" s="9" t="n">
        <v>20</v>
      </c>
      <c r="P10" s="9" t="n">
        <v>20</v>
      </c>
      <c r="Q10" s="9" t="n">
        <v>20</v>
      </c>
      <c r="R10" s="9" t="n">
        <v>20</v>
      </c>
      <c r="S10" s="9" t="n">
        <v>20</v>
      </c>
      <c r="T10" s="9" t="n">
        <v>20</v>
      </c>
      <c r="U10" s="9" t="n">
        <v>20</v>
      </c>
      <c r="V10" s="40" t="inlineStr">
        <is>
          <t>0%</t>
        </is>
      </c>
      <c r="W10" s="40" t="inlineStr">
        <is>
          <t>% in technology roles</t>
        </is>
      </c>
    </row>
    <row r="11" ht="22" customHeight="1">
      <c r="A11" s="39" t="inlineStr">
        <is>
          <t>Median Time to Job (months)</t>
        </is>
      </c>
      <c r="B11" s="9" t="n">
        <v>12</v>
      </c>
      <c r="C11" s="9" t="n">
        <v>11</v>
      </c>
      <c r="D11" s="9" t="n">
        <v>10</v>
      </c>
      <c r="E11" s="9" t="n">
        <v>9</v>
      </c>
      <c r="F11" s="9" t="n">
        <v>8</v>
      </c>
      <c r="G11" s="9" t="n">
        <v>8</v>
      </c>
      <c r="H11" s="9" t="n">
        <v>7.5</v>
      </c>
      <c r="I11" s="9" t="n">
        <v>7</v>
      </c>
      <c r="J11" s="9" t="n">
        <v>7</v>
      </c>
      <c r="K11" s="9" t="n">
        <v>7</v>
      </c>
      <c r="L11" s="9" t="n">
        <v>7</v>
      </c>
      <c r="M11" s="9" t="n">
        <v>7</v>
      </c>
      <c r="N11" s="9" t="n">
        <v>7</v>
      </c>
      <c r="O11" s="9" t="n">
        <v>7</v>
      </c>
      <c r="P11" s="9" t="n">
        <v>7</v>
      </c>
      <c r="Q11" s="9" t="n">
        <v>7</v>
      </c>
      <c r="R11" s="9" t="n">
        <v>7</v>
      </c>
      <c r="S11" s="9" t="n">
        <v>7</v>
      </c>
      <c r="T11" s="9" t="n">
        <v>7</v>
      </c>
      <c r="U11" s="9" t="n">
        <v>7</v>
      </c>
      <c r="V11" s="40" t="inlineStr">
        <is>
          <t>-42.9%</t>
        </is>
      </c>
      <c r="W11" s="40" t="inlineStr">
        <is>
          <t>Average placement speed</t>
        </is>
      </c>
    </row>
    <row r="12" ht="18" customHeight="1">
      <c r="A12" s="35" t="inlineStr">
        <is>
          <t>EMPLOYMENT PROFILE - WORKFORCE COMPOSITION</t>
        </is>
      </c>
    </row>
    <row r="13" ht="22" customHeight="1">
      <c r="A13" s="39" t="inlineStr">
        <is>
          <t>Entry-Level Positions</t>
        </is>
      </c>
      <c r="B13" s="8" t="n">
        <v>42</v>
      </c>
      <c r="C13" s="8" t="n">
        <v>72</v>
      </c>
      <c r="D13" s="8" t="n">
        <v>115</v>
      </c>
      <c r="E13" s="8" t="n">
        <v>165</v>
      </c>
      <c r="F13" s="8" t="n">
        <v>210</v>
      </c>
      <c r="G13" s="8" t="n">
        <v>235</v>
      </c>
      <c r="H13" s="8" t="n">
        <v>245</v>
      </c>
      <c r="I13" s="8" t="n">
        <v>255</v>
      </c>
      <c r="J13" s="8" t="n">
        <v>260</v>
      </c>
      <c r="K13" s="8" t="n">
        <v>260</v>
      </c>
      <c r="L13" s="8" t="n">
        <v>260</v>
      </c>
      <c r="M13" s="8" t="n">
        <v>260</v>
      </c>
      <c r="N13" s="8" t="n">
        <v>260</v>
      </c>
      <c r="O13" s="8" t="n">
        <v>260</v>
      </c>
      <c r="P13" s="8" t="n">
        <v>260</v>
      </c>
      <c r="Q13" s="8" t="n">
        <v>260</v>
      </c>
      <c r="R13" s="8" t="n">
        <v>260</v>
      </c>
      <c r="S13" s="8" t="n">
        <v>260</v>
      </c>
      <c r="T13" s="8" t="n">
        <v>260</v>
      </c>
      <c r="U13" s="8" t="n">
        <v>260</v>
      </c>
      <c r="V13" s="40" t="inlineStr">
        <is>
          <t>0%</t>
        </is>
      </c>
      <c r="W13" s="40" t="inlineStr">
        <is>
          <t>Entry-level employment roles</t>
        </is>
      </c>
    </row>
    <row r="14" ht="22" customHeight="1">
      <c r="A14" s="39" t="inlineStr">
        <is>
          <t>Mid-Level Positions</t>
        </is>
      </c>
      <c r="B14" s="8" t="n">
        <v>28</v>
      </c>
      <c r="C14" s="8" t="n">
        <v>52</v>
      </c>
      <c r="D14" s="8" t="n">
        <v>88</v>
      </c>
      <c r="E14" s="8" t="n">
        <v>128</v>
      </c>
      <c r="F14" s="8" t="n">
        <v>165</v>
      </c>
      <c r="G14" s="8" t="n">
        <v>185</v>
      </c>
      <c r="H14" s="8" t="n">
        <v>195</v>
      </c>
      <c r="I14" s="8" t="n">
        <v>200</v>
      </c>
      <c r="J14" s="8" t="n">
        <v>195</v>
      </c>
      <c r="K14" s="8" t="n">
        <v>197</v>
      </c>
      <c r="L14" s="8" t="n">
        <v>198</v>
      </c>
      <c r="M14" s="8" t="n">
        <v>199</v>
      </c>
      <c r="N14" s="8" t="n">
        <v>199</v>
      </c>
      <c r="O14" s="8" t="n">
        <v>199</v>
      </c>
      <c r="P14" s="8" t="n">
        <v>199</v>
      </c>
      <c r="Q14" s="8" t="n">
        <v>199</v>
      </c>
      <c r="R14" s="8" t="n">
        <v>199</v>
      </c>
      <c r="S14" s="8" t="n">
        <v>199</v>
      </c>
      <c r="T14" s="8" t="n">
        <v>199</v>
      </c>
      <c r="U14" s="8" t="n">
        <v>199</v>
      </c>
      <c r="V14" s="40" t="inlineStr">
        <is>
          <t>-0.5%</t>
        </is>
      </c>
      <c r="W14" s="40" t="inlineStr">
        <is>
          <t>Mid-career employment</t>
        </is>
      </c>
    </row>
    <row r="15" ht="22" customHeight="1">
      <c r="A15" s="39" t="inlineStr">
        <is>
          <t>Full-time Contracts</t>
        </is>
      </c>
      <c r="B15" s="8" t="n">
        <v>50</v>
      </c>
      <c r="C15" s="8" t="n">
        <v>85</v>
      </c>
      <c r="D15" s="8" t="n">
        <v>140</v>
      </c>
      <c r="E15" s="8" t="n">
        <v>200</v>
      </c>
      <c r="F15" s="8" t="n">
        <v>260</v>
      </c>
      <c r="G15" s="8" t="n">
        <v>300</v>
      </c>
      <c r="H15" s="8" t="n">
        <v>330</v>
      </c>
      <c r="I15" s="8" t="n">
        <v>350</v>
      </c>
      <c r="J15" s="8" t="n">
        <v>370</v>
      </c>
      <c r="K15" s="8" t="n">
        <v>375</v>
      </c>
      <c r="L15" s="8" t="n">
        <v>378</v>
      </c>
      <c r="M15" s="8" t="n">
        <v>380</v>
      </c>
      <c r="N15" s="8" t="n">
        <v>380</v>
      </c>
      <c r="O15" s="8" t="n">
        <v>380</v>
      </c>
      <c r="P15" s="8" t="n">
        <v>380</v>
      </c>
      <c r="Q15" s="8" t="n">
        <v>380</v>
      </c>
      <c r="R15" s="8" t="n">
        <v>380</v>
      </c>
      <c r="S15" s="8" t="n">
        <v>380</v>
      </c>
      <c r="T15" s="8" t="n">
        <v>380</v>
      </c>
      <c r="U15" s="8" t="n">
        <v>380</v>
      </c>
      <c r="V15" s="40" t="inlineStr">
        <is>
          <t>-6.3%</t>
        </is>
      </c>
      <c r="W15" s="40" t="inlineStr">
        <is>
          <t>Full-time permanent roles</t>
        </is>
      </c>
    </row>
    <row r="16" ht="22" customHeight="1">
      <c r="A16" s="39" t="inlineStr">
        <is>
          <t>Part-time Contracts</t>
        </is>
      </c>
      <c r="B16" s="8" t="n">
        <v>12</v>
      </c>
      <c r="C16" s="8" t="n">
        <v>22</v>
      </c>
      <c r="D16" s="8" t="n">
        <v>38</v>
      </c>
      <c r="E16" s="8" t="n">
        <v>55</v>
      </c>
      <c r="F16" s="8" t="n">
        <v>75</v>
      </c>
      <c r="G16" s="8" t="n">
        <v>92</v>
      </c>
      <c r="H16" s="8" t="n">
        <v>105</v>
      </c>
      <c r="I16" s="8" t="n">
        <v>115</v>
      </c>
      <c r="J16" s="8" t="n">
        <v>120</v>
      </c>
      <c r="K16" s="8" t="n">
        <v>122</v>
      </c>
      <c r="L16" s="8" t="n">
        <v>123</v>
      </c>
      <c r="M16" s="8" t="n">
        <v>124</v>
      </c>
      <c r="N16" s="8" t="n">
        <v>124</v>
      </c>
      <c r="O16" s="8" t="n">
        <v>124</v>
      </c>
      <c r="P16" s="8" t="n">
        <v>124</v>
      </c>
      <c r="Q16" s="8" t="n">
        <v>124</v>
      </c>
      <c r="R16" s="8" t="n">
        <v>124</v>
      </c>
      <c r="S16" s="8" t="n">
        <v>124</v>
      </c>
      <c r="T16" s="8" t="n">
        <v>124</v>
      </c>
      <c r="U16" s="8" t="n">
        <v>124</v>
      </c>
      <c r="V16" s="40" t="inlineStr">
        <is>
          <t>+0.8%</t>
        </is>
      </c>
      <c r="W16" s="40" t="inlineStr">
        <is>
          <t>Part-time employment</t>
        </is>
      </c>
    </row>
    <row r="17" ht="22" customHeight="1">
      <c r="A17" s="39" t="inlineStr">
        <is>
          <t>Temporary Contracts</t>
        </is>
      </c>
      <c r="B17" s="8" t="n">
        <v>8</v>
      </c>
      <c r="C17" s="8" t="n">
        <v>15</v>
      </c>
      <c r="D17" s="8" t="n">
        <v>25</v>
      </c>
      <c r="E17" s="8" t="n">
        <v>38</v>
      </c>
      <c r="F17" s="8" t="n">
        <v>48</v>
      </c>
      <c r="G17" s="8" t="n">
        <v>50</v>
      </c>
      <c r="H17" s="8" t="n">
        <v>48</v>
      </c>
      <c r="I17" s="8" t="n">
        <v>50</v>
      </c>
      <c r="J17" s="8" t="n">
        <v>50</v>
      </c>
      <c r="K17" s="8" t="n">
        <v>50</v>
      </c>
      <c r="L17" s="8" t="n">
        <v>51</v>
      </c>
      <c r="M17" s="8" t="n">
        <v>51</v>
      </c>
      <c r="N17" s="8" t="n">
        <v>51</v>
      </c>
      <c r="O17" s="8" t="n">
        <v>51</v>
      </c>
      <c r="P17" s="8" t="n">
        <v>51</v>
      </c>
      <c r="Q17" s="8" t="n">
        <v>51</v>
      </c>
      <c r="R17" s="8" t="n">
        <v>51</v>
      </c>
      <c r="S17" s="8" t="n">
        <v>51</v>
      </c>
      <c r="T17" s="8" t="n">
        <v>51</v>
      </c>
      <c r="U17" s="8" t="n">
        <v>51</v>
      </c>
      <c r="V17" s="40" t="inlineStr">
        <is>
          <t>+2%</t>
        </is>
      </c>
      <c r="W17" s="40" t="inlineStr">
        <is>
          <t>Temporary/casual work</t>
        </is>
      </c>
    </row>
    <row r="18" ht="22" customHeight="1">
      <c r="A18" s="39" t="inlineStr">
        <is>
          <t>Contract-based Work</t>
        </is>
      </c>
      <c r="B18" s="8" t="n">
        <v>25</v>
      </c>
      <c r="C18" s="8" t="n">
        <v>43</v>
      </c>
      <c r="D18" s="8" t="n">
        <v>62</v>
      </c>
      <c r="E18" s="8" t="n">
        <v>92</v>
      </c>
      <c r="F18" s="8" t="n">
        <v>97</v>
      </c>
      <c r="G18" s="8" t="n">
        <v>103</v>
      </c>
      <c r="H18" s="8" t="n">
        <v>97</v>
      </c>
      <c r="I18" s="8" t="n">
        <v>85</v>
      </c>
      <c r="J18" s="8" t="n">
        <v>90</v>
      </c>
      <c r="K18" s="8" t="n">
        <v>93</v>
      </c>
      <c r="L18" s="8" t="n">
        <v>98</v>
      </c>
      <c r="M18" s="8" t="n">
        <v>85</v>
      </c>
      <c r="N18" s="8" t="n">
        <v>85</v>
      </c>
      <c r="O18" s="8" t="n">
        <v>85</v>
      </c>
      <c r="P18" s="8" t="n">
        <v>85</v>
      </c>
      <c r="Q18" s="8" t="n">
        <v>85</v>
      </c>
      <c r="R18" s="8" t="n">
        <v>85</v>
      </c>
      <c r="S18" s="8" t="n">
        <v>85</v>
      </c>
      <c r="T18" s="8" t="n">
        <v>85</v>
      </c>
      <c r="U18" s="8" t="n">
        <v>85</v>
      </c>
      <c r="V18" s="40" t="inlineStr">
        <is>
          <t>-13.8%</t>
        </is>
      </c>
      <c r="W18" s="40" t="inlineStr">
        <is>
          <t>Fixed-term contracts</t>
        </is>
      </c>
    </row>
    <row r="19" ht="18" customHeight="1">
      <c r="A19" s="35" t="inlineStr">
        <is>
          <t>TOP EMPLOYMENT SECTORS</t>
        </is>
      </c>
    </row>
    <row r="20" ht="22" customHeight="1">
      <c r="A20" s="39" t="inlineStr">
        <is>
          <t>Digital Health</t>
        </is>
      </c>
      <c r="B20" s="8" t="n">
        <v>20</v>
      </c>
      <c r="C20" s="8" t="n">
        <v>35</v>
      </c>
      <c r="D20" s="8" t="n">
        <v>60</v>
      </c>
      <c r="E20" s="8" t="n">
        <v>90</v>
      </c>
      <c r="F20" s="8" t="n">
        <v>110</v>
      </c>
      <c r="G20" s="8" t="n">
        <v>125</v>
      </c>
      <c r="H20" s="8" t="n">
        <v>128</v>
      </c>
      <c r="I20" s="8" t="n">
        <v>130</v>
      </c>
      <c r="J20" s="8" t="n">
        <v>125</v>
      </c>
      <c r="K20" s="8" t="n">
        <v>128</v>
      </c>
      <c r="L20" s="8" t="n">
        <v>129</v>
      </c>
      <c r="M20" s="8" t="n">
        <v>130</v>
      </c>
      <c r="N20" s="8" t="n">
        <v>130</v>
      </c>
      <c r="O20" s="8" t="n">
        <v>130</v>
      </c>
      <c r="P20" s="8" t="n">
        <v>130</v>
      </c>
      <c r="Q20" s="8" t="n">
        <v>130</v>
      </c>
      <c r="R20" s="8" t="n">
        <v>130</v>
      </c>
      <c r="S20" s="8" t="n">
        <v>130</v>
      </c>
      <c r="T20" s="8" t="n">
        <v>130</v>
      </c>
      <c r="U20" s="8" t="n">
        <v>130</v>
      </c>
      <c r="V20" s="40" t="inlineStr">
        <is>
          <t>+18.2%</t>
        </is>
      </c>
      <c r="W20" s="40" t="inlineStr">
        <is>
          <t>Digital Health employment</t>
        </is>
      </c>
    </row>
    <row r="21" ht="22" customHeight="1">
      <c r="A21" s="39" t="inlineStr">
        <is>
          <t>MedTech</t>
        </is>
      </c>
      <c r="B21" s="8" t="n">
        <v>12</v>
      </c>
      <c r="C21" s="8" t="n">
        <v>22</v>
      </c>
      <c r="D21" s="8" t="n">
        <v>38</v>
      </c>
      <c r="E21" s="8" t="n">
        <v>58</v>
      </c>
      <c r="F21" s="8" t="n">
        <v>72</v>
      </c>
      <c r="G21" s="8" t="n">
        <v>85</v>
      </c>
      <c r="H21" s="8" t="n">
        <v>90</v>
      </c>
      <c r="I21" s="8" t="n">
        <v>93</v>
      </c>
      <c r="J21" s="8" t="n">
        <v>93</v>
      </c>
      <c r="K21" s="8" t="n">
        <v>93</v>
      </c>
      <c r="L21" s="8" t="n">
        <v>93</v>
      </c>
      <c r="M21" s="8" t="n">
        <v>93</v>
      </c>
      <c r="N21" s="8" t="n">
        <v>93</v>
      </c>
      <c r="O21" s="8" t="n">
        <v>93</v>
      </c>
      <c r="P21" s="8" t="n">
        <v>93</v>
      </c>
      <c r="Q21" s="8" t="n">
        <v>93</v>
      </c>
      <c r="R21" s="8" t="n">
        <v>93</v>
      </c>
      <c r="S21" s="8" t="n">
        <v>93</v>
      </c>
      <c r="T21" s="8" t="n">
        <v>93</v>
      </c>
      <c r="U21" s="8" t="n">
        <v>93</v>
      </c>
      <c r="V21" s="40" t="inlineStr">
        <is>
          <t>+29.2%</t>
        </is>
      </c>
      <c r="W21" s="40" t="inlineStr">
        <is>
          <t>MedTech employment</t>
        </is>
      </c>
    </row>
    <row r="22" ht="22" customHeight="1">
      <c r="A22" s="39" t="inlineStr">
        <is>
          <t>Mental Health &amp; Wellness</t>
        </is>
      </c>
      <c r="B22" s="8" t="n">
        <v>8</v>
      </c>
      <c r="C22" s="8" t="n">
        <v>15</v>
      </c>
      <c r="D22" s="8" t="n">
        <v>28</v>
      </c>
      <c r="E22" s="8" t="n">
        <v>45</v>
      </c>
      <c r="F22" s="8" t="n">
        <v>58</v>
      </c>
      <c r="G22" s="8" t="n">
        <v>68</v>
      </c>
      <c r="H22" s="8" t="n">
        <v>72</v>
      </c>
      <c r="I22" s="8" t="n">
        <v>73</v>
      </c>
      <c r="J22" s="8" t="n">
        <v>73</v>
      </c>
      <c r="K22" s="8" t="n">
        <v>73</v>
      </c>
      <c r="L22" s="8" t="n">
        <v>73</v>
      </c>
      <c r="M22" s="8" t="n">
        <v>73</v>
      </c>
      <c r="N22" s="8" t="n">
        <v>73</v>
      </c>
      <c r="O22" s="8" t="n">
        <v>73</v>
      </c>
      <c r="P22" s="8" t="n">
        <v>73</v>
      </c>
      <c r="Q22" s="8" t="n">
        <v>73</v>
      </c>
      <c r="R22" s="8" t="n">
        <v>73</v>
      </c>
      <c r="S22" s="8" t="n">
        <v>73</v>
      </c>
      <c r="T22" s="8" t="n">
        <v>73</v>
      </c>
      <c r="U22" s="8" t="n">
        <v>73</v>
      </c>
      <c r="V22" s="40" t="inlineStr">
        <is>
          <t>+62%</t>
        </is>
      </c>
      <c r="W22" s="40" t="inlineStr">
        <is>
          <t>Mental Health &amp; Wellness employment</t>
        </is>
      </c>
    </row>
    <row r="23" ht="22" customHeight="1">
      <c r="A23" s="39" t="inlineStr">
        <is>
          <t>Healthcare Infrastructure</t>
        </is>
      </c>
      <c r="B23" s="8" t="n">
        <v>10</v>
      </c>
      <c r="C23" s="8" t="n">
        <v>18</v>
      </c>
      <c r="D23" s="8" t="n">
        <v>32</v>
      </c>
      <c r="E23" s="8" t="n">
        <v>52</v>
      </c>
      <c r="F23" s="8" t="n">
        <v>62</v>
      </c>
      <c r="G23" s="8" t="n">
        <v>68</v>
      </c>
      <c r="H23" s="8" t="n">
        <v>70</v>
      </c>
      <c r="I23" s="8" t="n">
        <v>71</v>
      </c>
      <c r="J23" s="8" t="n">
        <v>71</v>
      </c>
      <c r="K23" s="8" t="n">
        <v>71</v>
      </c>
      <c r="L23" s="8" t="n">
        <v>71</v>
      </c>
      <c r="M23" s="8" t="n">
        <v>71</v>
      </c>
      <c r="N23" s="8" t="n">
        <v>71</v>
      </c>
      <c r="O23" s="8" t="n">
        <v>71</v>
      </c>
      <c r="P23" s="8" t="n">
        <v>71</v>
      </c>
      <c r="Q23" s="8" t="n">
        <v>71</v>
      </c>
      <c r="R23" s="8" t="n">
        <v>71</v>
      </c>
      <c r="S23" s="8" t="n">
        <v>71</v>
      </c>
      <c r="T23" s="8" t="n">
        <v>71</v>
      </c>
      <c r="U23" s="8" t="n">
        <v>71</v>
      </c>
      <c r="V23" s="40" t="inlineStr">
        <is>
          <t>+35.6%</t>
        </is>
      </c>
      <c r="W23" s="40" t="inlineStr">
        <is>
          <t>Healthcare Infrastructure employment</t>
        </is>
      </c>
    </row>
    <row r="24" ht="18" customHeight="1">
      <c r="A24" s="35" t="inlineStr">
        <is>
          <t>GEOGRAPHIC DISTRIBUTION - TOP COUNTRIES</t>
        </is>
      </c>
    </row>
    <row r="25" ht="22" customHeight="1">
      <c r="A25" s="39" t="inlineStr">
        <is>
          <t>Kenya</t>
        </is>
      </c>
      <c r="B25" s="8" t="n">
        <v>18</v>
      </c>
      <c r="C25" s="8" t="n">
        <v>32</v>
      </c>
      <c r="D25" s="8" t="n">
        <v>55</v>
      </c>
      <c r="E25" s="8" t="n">
        <v>85</v>
      </c>
      <c r="F25" s="8" t="n">
        <v>105</v>
      </c>
      <c r="G25" s="8" t="n">
        <v>115</v>
      </c>
      <c r="H25" s="8" t="n">
        <v>120</v>
      </c>
      <c r="I25" s="8" t="n">
        <v>128</v>
      </c>
      <c r="J25" s="8" t="n">
        <v>130</v>
      </c>
      <c r="K25" s="8" t="n">
        <v>130</v>
      </c>
      <c r="L25" s="8" t="n">
        <v>131</v>
      </c>
      <c r="M25" s="8" t="n">
        <v>131</v>
      </c>
      <c r="N25" s="8" t="n">
        <v>131</v>
      </c>
      <c r="O25" s="8" t="n">
        <v>131</v>
      </c>
      <c r="P25" s="8" t="n">
        <v>131</v>
      </c>
      <c r="Q25" s="8" t="n">
        <v>131</v>
      </c>
      <c r="R25" s="8" t="n">
        <v>131</v>
      </c>
      <c r="S25" s="8" t="n">
        <v>131</v>
      </c>
      <c r="T25" s="8" t="n">
        <v>131</v>
      </c>
      <c r="U25" s="8" t="n">
        <v>131</v>
      </c>
      <c r="V25" s="40" t="inlineStr">
        <is>
          <t>+2.3%</t>
        </is>
      </c>
      <c r="W25" s="40" t="inlineStr">
        <is>
          <t>Kenya placements</t>
        </is>
      </c>
    </row>
    <row r="26" ht="22" customHeight="1">
      <c r="A26" s="39" t="inlineStr">
        <is>
          <t>Rwanda</t>
        </is>
      </c>
      <c r="B26" s="8" t="n">
        <v>15</v>
      </c>
      <c r="C26" s="8" t="n">
        <v>28</v>
      </c>
      <c r="D26" s="8" t="n">
        <v>48</v>
      </c>
      <c r="E26" s="8" t="n">
        <v>75</v>
      </c>
      <c r="F26" s="8" t="n">
        <v>95</v>
      </c>
      <c r="G26" s="8" t="n">
        <v>105</v>
      </c>
      <c r="H26" s="8" t="n">
        <v>110</v>
      </c>
      <c r="I26" s="8" t="n">
        <v>113</v>
      </c>
      <c r="J26" s="8" t="n">
        <v>114</v>
      </c>
      <c r="K26" s="8" t="n">
        <v>114</v>
      </c>
      <c r="L26" s="8" t="n">
        <v>115</v>
      </c>
      <c r="M26" s="8" t="n">
        <v>115</v>
      </c>
      <c r="N26" s="8" t="n">
        <v>115</v>
      </c>
      <c r="O26" s="8" t="n">
        <v>115</v>
      </c>
      <c r="P26" s="8" t="n">
        <v>115</v>
      </c>
      <c r="Q26" s="8" t="n">
        <v>115</v>
      </c>
      <c r="R26" s="8" t="n">
        <v>115</v>
      </c>
      <c r="S26" s="8" t="n">
        <v>115</v>
      </c>
      <c r="T26" s="8" t="n">
        <v>115</v>
      </c>
      <c r="U26" s="8" t="n">
        <v>115</v>
      </c>
      <c r="V26" s="40" t="inlineStr">
        <is>
          <t>+1.8%</t>
        </is>
      </c>
      <c r="W26" s="40" t="inlineStr">
        <is>
          <t>Rwanda placements</t>
        </is>
      </c>
    </row>
    <row r="27" ht="22" customHeight="1">
      <c r="A27" s="39" t="inlineStr">
        <is>
          <t>Nigeria</t>
        </is>
      </c>
      <c r="B27" s="8" t="n">
        <v>12</v>
      </c>
      <c r="C27" s="8" t="n">
        <v>22</v>
      </c>
      <c r="D27" s="8" t="n">
        <v>42</v>
      </c>
      <c r="E27" s="8" t="n">
        <v>70</v>
      </c>
      <c r="F27" s="8" t="n">
        <v>92</v>
      </c>
      <c r="G27" s="8" t="n">
        <v>105</v>
      </c>
      <c r="H27" s="8" t="n">
        <v>110</v>
      </c>
      <c r="I27" s="8" t="n">
        <v>112</v>
      </c>
      <c r="J27" s="8" t="n">
        <v>112</v>
      </c>
      <c r="K27" s="8" t="n">
        <v>112</v>
      </c>
      <c r="L27" s="8" t="n">
        <v>113</v>
      </c>
      <c r="M27" s="8" t="n">
        <v>113</v>
      </c>
      <c r="N27" s="8" t="n">
        <v>113</v>
      </c>
      <c r="O27" s="8" t="n">
        <v>113</v>
      </c>
      <c r="P27" s="8" t="n">
        <v>113</v>
      </c>
      <c r="Q27" s="8" t="n">
        <v>113</v>
      </c>
      <c r="R27" s="8" t="n">
        <v>113</v>
      </c>
      <c r="S27" s="8" t="n">
        <v>113</v>
      </c>
      <c r="T27" s="8" t="n">
        <v>113</v>
      </c>
      <c r="U27" s="8" t="n">
        <v>113</v>
      </c>
      <c r="V27" s="40" t="inlineStr">
        <is>
          <t>+1.8%</t>
        </is>
      </c>
      <c r="W27" s="40" t="inlineStr">
        <is>
          <t>Nigeria placements</t>
        </is>
      </c>
    </row>
    <row r="28" ht="22" customHeight="1">
      <c r="A28" s="39" t="inlineStr">
        <is>
          <t>South Africa</t>
        </is>
      </c>
      <c r="B28" s="8" t="n">
        <v>8</v>
      </c>
      <c r="C28" s="8" t="n">
        <v>15</v>
      </c>
      <c r="D28" s="8" t="n">
        <v>28</v>
      </c>
      <c r="E28" s="8" t="n">
        <v>48</v>
      </c>
      <c r="F28" s="8" t="n">
        <v>58</v>
      </c>
      <c r="G28" s="8" t="n">
        <v>63</v>
      </c>
      <c r="H28" s="8" t="n">
        <v>65</v>
      </c>
      <c r="I28" s="8" t="n">
        <v>67</v>
      </c>
      <c r="J28" s="8" t="n">
        <v>68</v>
      </c>
      <c r="K28" s="8" t="n">
        <v>68</v>
      </c>
      <c r="L28" s="8" t="n">
        <v>68</v>
      </c>
      <c r="M28" s="8" t="n">
        <v>68</v>
      </c>
      <c r="N28" s="8" t="n">
        <v>68</v>
      </c>
      <c r="O28" s="8" t="n">
        <v>68</v>
      </c>
      <c r="P28" s="8" t="n">
        <v>68</v>
      </c>
      <c r="Q28" s="8" t="n">
        <v>68</v>
      </c>
      <c r="R28" s="8" t="n">
        <v>68</v>
      </c>
      <c r="S28" s="8" t="n">
        <v>68</v>
      </c>
      <c r="T28" s="8" t="n">
        <v>68</v>
      </c>
      <c r="U28" s="8" t="n">
        <v>68</v>
      </c>
      <c r="V28" s="40" t="inlineStr">
        <is>
          <t>0%</t>
        </is>
      </c>
      <c r="W28" s="40" t="inlineStr">
        <is>
          <t>South Africa placements</t>
        </is>
      </c>
    </row>
    <row r="29" ht="18" customHeight="1">
      <c r="A29" s="35" t="inlineStr">
        <is>
          <t>EMPLOYMENT QUALITY &amp; IMPACT METRICS</t>
        </is>
      </c>
    </row>
    <row r="30" ht="22" customHeight="1">
      <c r="A30" s="39" t="inlineStr">
        <is>
          <t>Average Monthly Income (USD)</t>
        </is>
      </c>
      <c r="B30" s="42" t="n">
        <v>850</v>
      </c>
      <c r="C30" s="42" t="n">
        <v>950</v>
      </c>
      <c r="D30" s="42" t="n">
        <v>1050</v>
      </c>
      <c r="E30" s="42" t="n">
        <v>1150</v>
      </c>
      <c r="F30" s="42" t="n">
        <v>1250</v>
      </c>
      <c r="G30" s="42" t="n">
        <v>1350</v>
      </c>
      <c r="H30" s="42" t="n">
        <v>1400</v>
      </c>
      <c r="I30" s="42" t="n">
        <v>1450</v>
      </c>
      <c r="J30" s="42" t="n">
        <v>1500</v>
      </c>
      <c r="K30" s="42" t="n">
        <v>1550</v>
      </c>
      <c r="L30" s="42" t="n">
        <v>1600</v>
      </c>
      <c r="M30" s="42" t="n">
        <v>1650</v>
      </c>
      <c r="N30" s="42" t="n">
        <v>1700</v>
      </c>
      <c r="O30" s="42" t="n">
        <v>1750</v>
      </c>
      <c r="P30" s="42" t="n">
        <v>1800</v>
      </c>
      <c r="Q30" s="42" t="n">
        <v>1850</v>
      </c>
      <c r="R30" s="42" t="n">
        <v>1900</v>
      </c>
      <c r="S30" s="42" t="n">
        <v>1900</v>
      </c>
      <c r="T30" s="42" t="n">
        <v>1900</v>
      </c>
      <c r="U30" s="42" t="n">
        <v>1900</v>
      </c>
      <c r="V30" s="40" t="inlineStr">
        <is>
          <t>+2.7%</t>
        </is>
      </c>
      <c r="W30" s="40" t="inlineStr">
        <is>
          <t>Median monthly wage USD</t>
        </is>
      </c>
    </row>
    <row r="31" ht="22" customHeight="1">
      <c r="A31" s="39" t="inlineStr">
        <is>
          <t>Female Average Income (USD)</t>
        </is>
      </c>
      <c r="B31" s="42" t="n">
        <v>750</v>
      </c>
      <c r="C31" s="42" t="n">
        <v>820</v>
      </c>
      <c r="D31" s="42" t="n">
        <v>920</v>
      </c>
      <c r="E31" s="42" t="n">
        <v>1020</v>
      </c>
      <c r="F31" s="42" t="n">
        <v>1120</v>
      </c>
      <c r="G31" s="42" t="n">
        <v>1220</v>
      </c>
      <c r="H31" s="42" t="n">
        <v>1300</v>
      </c>
      <c r="I31" s="42" t="n">
        <v>1380</v>
      </c>
      <c r="J31" s="42" t="n">
        <v>1450</v>
      </c>
      <c r="K31" s="42" t="n">
        <v>1500</v>
      </c>
      <c r="L31" s="42" t="n">
        <v>1550</v>
      </c>
      <c r="M31" s="42" t="n">
        <v>1600</v>
      </c>
      <c r="N31" s="42" t="n">
        <v>1650</v>
      </c>
      <c r="O31" s="42" t="n">
        <v>1700</v>
      </c>
      <c r="P31" s="42" t="n">
        <v>1750</v>
      </c>
      <c r="Q31" s="42" t="n">
        <v>1800</v>
      </c>
      <c r="R31" s="42" t="n">
        <v>1850</v>
      </c>
      <c r="S31" s="42" t="n">
        <v>1850</v>
      </c>
      <c r="T31" s="42" t="n">
        <v>1850</v>
      </c>
      <c r="U31" s="42" t="n">
        <v>1850</v>
      </c>
      <c r="V31" s="40" t="inlineStr">
        <is>
          <t>+3.4%</t>
        </is>
      </c>
      <c r="W31" s="40" t="inlineStr">
        <is>
          <t>Female median wage USD</t>
        </is>
      </c>
    </row>
    <row r="32" ht="22" customHeight="1">
      <c r="A32" s="39" t="inlineStr">
        <is>
          <t>Accessing Dignified Work (%)</t>
        </is>
      </c>
      <c r="B32" s="9" t="n">
        <v>35</v>
      </c>
      <c r="C32" s="9" t="n">
        <v>42</v>
      </c>
      <c r="D32" s="9" t="n">
        <v>50</v>
      </c>
      <c r="E32" s="9" t="n">
        <v>58</v>
      </c>
      <c r="F32" s="9" t="n">
        <v>65</v>
      </c>
      <c r="G32" s="9" t="n">
        <v>70</v>
      </c>
      <c r="H32" s="9" t="n">
        <v>72</v>
      </c>
      <c r="I32" s="9" t="n">
        <v>74</v>
      </c>
      <c r="J32" s="9" t="n">
        <v>74</v>
      </c>
      <c r="K32" s="9" t="n">
        <v>74</v>
      </c>
      <c r="L32" s="9" t="n">
        <v>75</v>
      </c>
      <c r="M32" s="9" t="n">
        <v>75</v>
      </c>
      <c r="N32" s="9" t="n">
        <v>75</v>
      </c>
      <c r="O32" s="9" t="n">
        <v>75</v>
      </c>
      <c r="P32" s="9" t="n">
        <v>75</v>
      </c>
      <c r="Q32" s="9" t="n">
        <v>75</v>
      </c>
      <c r="R32" s="9" t="n">
        <v>75</v>
      </c>
      <c r="S32" s="9" t="n">
        <v>75</v>
      </c>
      <c r="T32" s="9" t="n">
        <v>75</v>
      </c>
      <c r="U32" s="9" t="n">
        <v>75</v>
      </c>
      <c r="V32" s="40" t="inlineStr">
        <is>
          <t>+1.4%</t>
        </is>
      </c>
      <c r="W32" s="40" t="inlineStr">
        <is>
          <t>Adequate dignified work</t>
        </is>
      </c>
    </row>
    <row r="33" ht="22" customHeight="1">
      <c r="A33" s="39" t="inlineStr">
        <is>
          <t>Progressing Toward Dignity (%)</t>
        </is>
      </c>
      <c r="B33" s="9" t="n">
        <v>12</v>
      </c>
      <c r="C33" s="9" t="n">
        <v>18</v>
      </c>
      <c r="D33" s="9" t="n">
        <v>25</v>
      </c>
      <c r="E33" s="9" t="n">
        <v>32</v>
      </c>
      <c r="F33" s="9" t="n">
        <v>42</v>
      </c>
      <c r="G33" s="9" t="n">
        <v>50</v>
      </c>
      <c r="H33" s="9" t="n">
        <v>58</v>
      </c>
      <c r="I33" s="9" t="n">
        <v>65</v>
      </c>
      <c r="J33" s="9" t="n">
        <v>68</v>
      </c>
      <c r="K33" s="9" t="n">
        <v>71</v>
      </c>
      <c r="L33" s="9" t="n">
        <v>74</v>
      </c>
      <c r="M33" s="9" t="n">
        <v>78</v>
      </c>
      <c r="N33" s="9" t="n">
        <v>80</v>
      </c>
      <c r="O33" s="9" t="n">
        <v>82</v>
      </c>
      <c r="P33" s="9" t="n">
        <v>83</v>
      </c>
      <c r="Q33" s="9" t="n">
        <v>85</v>
      </c>
      <c r="R33" s="9" t="n">
        <v>85</v>
      </c>
      <c r="S33" s="9" t="n">
        <v>85</v>
      </c>
      <c r="T33" s="9" t="n">
        <v>85</v>
      </c>
      <c r="U33" s="9" t="n">
        <v>85</v>
      </c>
      <c r="V33" s="40" t="inlineStr">
        <is>
          <t>+30.8%</t>
        </is>
      </c>
      <c r="W33" s="40" t="inlineStr">
        <is>
          <t>Working toward dignity goals</t>
        </is>
      </c>
    </row>
    <row r="34" ht="22" customHeight="1">
      <c r="A34" s="39" t="inlineStr">
        <is>
          <t>CHII Support Satisfaction (%)</t>
        </is>
      </c>
      <c r="B34" s="9" t="n">
        <v>65</v>
      </c>
      <c r="C34" s="9" t="n">
        <v>72</v>
      </c>
      <c r="D34" s="9" t="n">
        <v>78</v>
      </c>
      <c r="E34" s="9" t="n">
        <v>82</v>
      </c>
      <c r="F34" s="9" t="n">
        <v>84</v>
      </c>
      <c r="G34" s="9" t="n">
        <v>86</v>
      </c>
      <c r="H34" s="9" t="n">
        <v>87</v>
      </c>
      <c r="I34" s="9" t="n">
        <v>88</v>
      </c>
      <c r="J34" s="9" t="n">
        <v>88</v>
      </c>
      <c r="K34" s="9" t="n">
        <v>88</v>
      </c>
      <c r="L34" s="9" t="n">
        <v>89</v>
      </c>
      <c r="M34" s="9" t="n">
        <v>89</v>
      </c>
      <c r="N34" s="9" t="n">
        <v>89</v>
      </c>
      <c r="O34" s="9" t="n">
        <v>89</v>
      </c>
      <c r="P34" s="9" t="n">
        <v>89</v>
      </c>
      <c r="Q34" s="9" t="n">
        <v>89</v>
      </c>
      <c r="R34" s="9" t="n">
        <v>89</v>
      </c>
      <c r="S34" s="9" t="n">
        <v>89</v>
      </c>
      <c r="T34" s="9" t="n">
        <v>89</v>
      </c>
      <c r="U34" s="9" t="n">
        <v>89</v>
      </c>
      <c r="V34" s="40" t="inlineStr">
        <is>
          <t>+1.1%</t>
        </is>
      </c>
      <c r="W34" s="40" t="inlineStr">
        <is>
          <t>Agree/Strongly agree on CHII support</t>
        </is>
      </c>
    </row>
  </sheetData>
  <mergeCells count="12">
    <mergeCell ref="A12:U12"/>
    <mergeCell ref="A24:U24"/>
    <mergeCell ref="B4:E4"/>
    <mergeCell ref="A2:U2"/>
    <mergeCell ref="R4:U4"/>
    <mergeCell ref="A29:U29"/>
    <mergeCell ref="F4:I4"/>
    <mergeCell ref="J4:M4"/>
    <mergeCell ref="A19:U19"/>
    <mergeCell ref="N4:Q4"/>
    <mergeCell ref="A1:U1"/>
    <mergeCell ref="A3:U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2" customWidth="1" min="22" max="22"/>
    <col width="20" customWidth="1" min="23" max="23"/>
  </cols>
  <sheetData>
    <row r="1" ht="25" customHeight="1">
      <c r="A1" s="4" t="inlineStr">
        <is>
          <t>CHII EXECUTIVE DASHBOARD - ENTREPRENEURSHIP</t>
        </is>
      </c>
    </row>
    <row r="2">
      <c r="A2" s="34" t="inlineStr">
        <is>
          <t>Venture Portfolio &amp; Economic Impact | Quarterly Trends (2022-2026)</t>
        </is>
      </c>
    </row>
    <row r="3" ht="18" customHeight="1">
      <c r="A3" s="35" t="inlineStr">
        <is>
          <t>ENTREPRENEURSHIP OVERVIEW &amp; PORTFOLIO</t>
        </is>
      </c>
    </row>
    <row r="4">
      <c r="A4" s="36" t="inlineStr">
        <is>
          <t>Metric</t>
        </is>
      </c>
      <c r="B4" s="37" t="inlineStr">
        <is>
          <t>2022</t>
        </is>
      </c>
      <c r="C4" s="30" t="n"/>
      <c r="D4" s="30" t="n"/>
      <c r="E4" s="31" t="n"/>
      <c r="F4" s="37" t="inlineStr">
        <is>
          <t>2023</t>
        </is>
      </c>
      <c r="G4" s="30" t="n"/>
      <c r="H4" s="30" t="n"/>
      <c r="I4" s="31" t="n"/>
      <c r="J4" s="37" t="inlineStr">
        <is>
          <t>2024</t>
        </is>
      </c>
      <c r="K4" s="30" t="n"/>
      <c r="L4" s="30" t="n"/>
      <c r="M4" s="31" t="n"/>
      <c r="N4" s="37" t="inlineStr">
        <is>
          <t>2025</t>
        </is>
      </c>
      <c r="O4" s="30" t="n"/>
      <c r="P4" s="30" t="n"/>
      <c r="Q4" s="31" t="n"/>
      <c r="R4" s="37" t="inlineStr">
        <is>
          <t>2026</t>
        </is>
      </c>
      <c r="S4" s="30" t="n"/>
      <c r="T4" s="30" t="n"/>
      <c r="U4" s="31" t="n"/>
      <c r="V4" s="36" t="inlineStr">
        <is>
          <t>2026 YoY %</t>
        </is>
      </c>
      <c r="W4" s="36" t="inlineStr">
        <is>
          <t>Notes</t>
        </is>
      </c>
    </row>
    <row r="5" ht="16" customHeight="1">
      <c r="B5" s="38" t="inlineStr">
        <is>
          <t>Q1</t>
        </is>
      </c>
      <c r="C5" s="38" t="inlineStr">
        <is>
          <t>Q2</t>
        </is>
      </c>
      <c r="D5" s="38" t="inlineStr">
        <is>
          <t>Q3</t>
        </is>
      </c>
      <c r="E5" s="38" t="inlineStr">
        <is>
          <t>Q4</t>
        </is>
      </c>
      <c r="F5" s="38" t="inlineStr">
        <is>
          <t>Q1</t>
        </is>
      </c>
      <c r="G5" s="38" t="inlineStr">
        <is>
          <t>Q2</t>
        </is>
      </c>
      <c r="H5" s="38" t="inlineStr">
        <is>
          <t>Q3</t>
        </is>
      </c>
      <c r="I5" s="38" t="inlineStr">
        <is>
          <t>Q4</t>
        </is>
      </c>
      <c r="J5" s="38" t="inlineStr">
        <is>
          <t>Q1</t>
        </is>
      </c>
      <c r="K5" s="38" t="inlineStr">
        <is>
          <t>Q2</t>
        </is>
      </c>
      <c r="L5" s="38" t="inlineStr">
        <is>
          <t>Q3</t>
        </is>
      </c>
      <c r="M5" s="38" t="inlineStr">
        <is>
          <t>Q4</t>
        </is>
      </c>
      <c r="N5" s="38" t="inlineStr">
        <is>
          <t>Q1</t>
        </is>
      </c>
      <c r="O5" s="38" t="inlineStr">
        <is>
          <t>Q2</t>
        </is>
      </c>
      <c r="P5" s="38" t="inlineStr">
        <is>
          <t>Q3</t>
        </is>
      </c>
      <c r="Q5" s="38" t="inlineStr">
        <is>
          <t>Q4</t>
        </is>
      </c>
      <c r="R5" s="38" t="inlineStr">
        <is>
          <t>Q1</t>
        </is>
      </c>
      <c r="S5" s="38" t="inlineStr">
        <is>
          <t>Q2</t>
        </is>
      </c>
      <c r="T5" s="38" t="inlineStr">
        <is>
          <t>Q3</t>
        </is>
      </c>
      <c r="U5" s="38" t="inlineStr">
        <is>
          <t>Q4</t>
        </is>
      </c>
    </row>
    <row r="6" ht="22" customHeight="1">
      <c r="A6" s="39" t="inlineStr">
        <is>
          <t>Total Entrepreneurs</t>
        </is>
      </c>
      <c r="B6" s="8" t="n">
        <v>180</v>
      </c>
      <c r="C6" s="8" t="n">
        <v>320</v>
      </c>
      <c r="D6" s="8" t="n">
        <v>520</v>
      </c>
      <c r="E6" s="8" t="n">
        <v>780</v>
      </c>
      <c r="F6" s="8" t="n">
        <v>1000</v>
      </c>
      <c r="G6" s="8" t="n">
        <v>1150</v>
      </c>
      <c r="H6" s="8" t="n">
        <v>1300</v>
      </c>
      <c r="I6" s="8" t="n">
        <v>1420</v>
      </c>
      <c r="J6" s="8" t="n">
        <v>1480</v>
      </c>
      <c r="K6" s="8" t="n">
        <v>1520</v>
      </c>
      <c r="L6" s="8" t="n">
        <v>1550</v>
      </c>
      <c r="M6" s="8" t="n">
        <v>1580</v>
      </c>
      <c r="N6" s="8" t="n">
        <v>1580</v>
      </c>
      <c r="O6" s="8" t="n">
        <v>1580</v>
      </c>
      <c r="P6" s="8" t="n">
        <v>1580</v>
      </c>
      <c r="Q6" s="8" t="n">
        <v>1580</v>
      </c>
      <c r="R6" s="8" t="n">
        <v>1580</v>
      </c>
      <c r="S6" s="8" t="n">
        <v>1580</v>
      </c>
      <c r="T6" s="8" t="n">
        <v>1580</v>
      </c>
      <c r="U6" s="8" t="n">
        <v>1580</v>
      </c>
      <c r="V6" s="40" t="inlineStr">
        <is>
          <t>0%</t>
        </is>
      </c>
      <c r="W6" s="40" t="inlineStr">
        <is>
          <t>Total founders in programme</t>
        </is>
      </c>
    </row>
    <row r="7" ht="22" customHeight="1">
      <c r="A7" s="39" t="inlineStr">
        <is>
          <t>Active Enterprises</t>
        </is>
      </c>
      <c r="B7" s="8" t="n">
        <v>165</v>
      </c>
      <c r="C7" s="8" t="n">
        <v>290</v>
      </c>
      <c r="D7" s="8" t="n">
        <v>465</v>
      </c>
      <c r="E7" s="8" t="n">
        <v>700</v>
      </c>
      <c r="F7" s="8" t="n">
        <v>900</v>
      </c>
      <c r="G7" s="8" t="n">
        <v>1050</v>
      </c>
      <c r="H7" s="8" t="n">
        <v>1200</v>
      </c>
      <c r="I7" s="8" t="n">
        <v>1300</v>
      </c>
      <c r="J7" s="8" t="n">
        <v>1350</v>
      </c>
      <c r="K7" s="8" t="n">
        <v>1365</v>
      </c>
      <c r="L7" s="8" t="n">
        <v>1375</v>
      </c>
      <c r="M7" s="8" t="n">
        <v>1386</v>
      </c>
      <c r="N7" s="8" t="n">
        <v>1386</v>
      </c>
      <c r="O7" s="8" t="n">
        <v>1386</v>
      </c>
      <c r="P7" s="8" t="n">
        <v>1386</v>
      </c>
      <c r="Q7" s="8" t="n">
        <v>1386</v>
      </c>
      <c r="R7" s="8" t="n">
        <v>1386</v>
      </c>
      <c r="S7" s="8" t="n">
        <v>1386</v>
      </c>
      <c r="T7" s="8" t="n">
        <v>1386</v>
      </c>
      <c r="U7" s="8" t="n">
        <v>1386</v>
      </c>
      <c r="V7" s="40" t="inlineStr">
        <is>
          <t>0%</t>
        </is>
      </c>
      <c r="W7" s="40" t="inlineStr">
        <is>
          <t>Operating ventures</t>
        </is>
      </c>
    </row>
    <row r="8" ht="22" customHeight="1">
      <c r="A8" s="39" t="inlineStr">
        <is>
          <t>Female-led Enterprises (%)</t>
        </is>
      </c>
      <c r="B8" s="9" t="n">
        <v>48</v>
      </c>
      <c r="C8" s="9" t="n">
        <v>50</v>
      </c>
      <c r="D8" s="9" t="n">
        <v>54</v>
      </c>
      <c r="E8" s="9" t="n">
        <v>58</v>
      </c>
      <c r="F8" s="9" t="n">
        <v>60</v>
      </c>
      <c r="G8" s="9" t="n">
        <v>61</v>
      </c>
      <c r="H8" s="9" t="n">
        <v>62</v>
      </c>
      <c r="I8" s="9" t="n">
        <v>62</v>
      </c>
      <c r="J8" s="9" t="n">
        <v>62</v>
      </c>
      <c r="K8" s="9" t="n">
        <v>62</v>
      </c>
      <c r="L8" s="9" t="n">
        <v>62</v>
      </c>
      <c r="M8" s="9" t="n">
        <v>62</v>
      </c>
      <c r="N8" s="9" t="n">
        <v>62</v>
      </c>
      <c r="O8" s="9" t="n">
        <v>62</v>
      </c>
      <c r="P8" s="9" t="n">
        <v>62</v>
      </c>
      <c r="Q8" s="9" t="n">
        <v>62</v>
      </c>
      <c r="R8" s="9" t="n">
        <v>62</v>
      </c>
      <c r="S8" s="9" t="n">
        <v>62</v>
      </c>
      <c r="T8" s="9" t="n">
        <v>62</v>
      </c>
      <c r="U8" s="9" t="n">
        <v>62</v>
      </c>
      <c r="V8" s="40" t="inlineStr">
        <is>
          <t>+3.3%</t>
        </is>
      </c>
      <c r="W8" s="40" t="inlineStr">
        <is>
          <t>% female leadership</t>
        </is>
      </c>
    </row>
    <row r="9" ht="22" customHeight="1">
      <c r="A9" s="39" t="inlineStr">
        <is>
          <t>Scholar Entrepreneurs</t>
        </is>
      </c>
      <c r="B9" s="8" t="n">
        <v>28</v>
      </c>
      <c r="C9" s="8" t="n">
        <v>52</v>
      </c>
      <c r="D9" s="8" t="n">
        <v>88</v>
      </c>
      <c r="E9" s="8" t="n">
        <v>138</v>
      </c>
      <c r="F9" s="8" t="n">
        <v>180</v>
      </c>
      <c r="G9" s="8" t="n">
        <v>210</v>
      </c>
      <c r="H9" s="8" t="n">
        <v>230</v>
      </c>
      <c r="I9" s="8" t="n">
        <v>245</v>
      </c>
      <c r="J9" s="8" t="n">
        <v>200</v>
      </c>
      <c r="K9" s="8" t="n">
        <v>203</v>
      </c>
      <c r="L9" s="8" t="n">
        <v>205</v>
      </c>
      <c r="M9" s="8" t="n">
        <v>208</v>
      </c>
      <c r="N9" s="8" t="n">
        <v>208</v>
      </c>
      <c r="O9" s="8" t="n">
        <v>208</v>
      </c>
      <c r="P9" s="8" t="n">
        <v>208</v>
      </c>
      <c r="Q9" s="8" t="n">
        <v>208</v>
      </c>
      <c r="R9" s="8" t="n">
        <v>208</v>
      </c>
      <c r="S9" s="8" t="n">
        <v>208</v>
      </c>
      <c r="T9" s="8" t="n">
        <v>208</v>
      </c>
      <c r="U9" s="8" t="n">
        <v>208</v>
      </c>
      <c r="V9" s="40" t="inlineStr">
        <is>
          <t>-14.9%</t>
        </is>
      </c>
      <c r="W9" s="40" t="inlineStr">
        <is>
          <t>MCF/ALU scholars founding</t>
        </is>
      </c>
    </row>
    <row r="10" ht="22" customHeight="1">
      <c r="A10" s="39" t="inlineStr">
        <is>
          <t>Enterprise Survival Rate - Year 3 (%)</t>
        </is>
      </c>
      <c r="B10" s="9" t="n">
        <v>45</v>
      </c>
      <c r="C10" s="9" t="n">
        <v>50</v>
      </c>
      <c r="D10" s="9" t="n">
        <v>55</v>
      </c>
      <c r="E10" s="9" t="n">
        <v>60</v>
      </c>
      <c r="F10" s="9" t="n">
        <v>65</v>
      </c>
      <c r="G10" s="9" t="n">
        <v>68</v>
      </c>
      <c r="H10" s="9" t="n">
        <v>70</v>
      </c>
      <c r="I10" s="9" t="n">
        <v>72</v>
      </c>
      <c r="J10" s="9" t="n">
        <v>75</v>
      </c>
      <c r="K10" s="9" t="n">
        <v>76</v>
      </c>
      <c r="L10" s="9" t="n">
        <v>77</v>
      </c>
      <c r="M10" s="9" t="n">
        <v>78</v>
      </c>
      <c r="N10" s="9" t="n">
        <v>78</v>
      </c>
      <c r="O10" s="9" t="n">
        <v>78</v>
      </c>
      <c r="P10" s="9" t="n">
        <v>78</v>
      </c>
      <c r="Q10" s="9" t="n">
        <v>78</v>
      </c>
      <c r="R10" s="9" t="n">
        <v>78</v>
      </c>
      <c r="S10" s="9" t="n">
        <v>78</v>
      </c>
      <c r="T10" s="9" t="n">
        <v>78</v>
      </c>
      <c r="U10" s="9" t="n">
        <v>78</v>
      </c>
      <c r="V10" s="40" t="inlineStr">
        <is>
          <t>+8.3%</t>
        </is>
      </c>
      <c r="W10" s="40" t="inlineStr">
        <is>
          <t>3-year survival rate</t>
        </is>
      </c>
    </row>
    <row r="11" ht="22" customHeight="1">
      <c r="A11" s="39" t="inlineStr">
        <is>
          <t>Formal Registration Rate (%)</t>
        </is>
      </c>
      <c r="B11" s="9" t="n">
        <v>35</v>
      </c>
      <c r="C11" s="9" t="n">
        <v>42</v>
      </c>
      <c r="D11" s="9" t="n">
        <v>48</v>
      </c>
      <c r="E11" s="9" t="n">
        <v>55</v>
      </c>
      <c r="F11" s="9" t="n">
        <v>62</v>
      </c>
      <c r="G11" s="9" t="n">
        <v>68</v>
      </c>
      <c r="H11" s="9" t="n">
        <v>72</v>
      </c>
      <c r="I11" s="9" t="n">
        <v>75</v>
      </c>
      <c r="J11" s="9" t="n">
        <v>78</v>
      </c>
      <c r="K11" s="9" t="n">
        <v>79</v>
      </c>
      <c r="L11" s="9" t="n">
        <v>80</v>
      </c>
      <c r="M11" s="9" t="n">
        <v>81</v>
      </c>
      <c r="N11" s="9" t="n">
        <v>81</v>
      </c>
      <c r="O11" s="9" t="n">
        <v>81</v>
      </c>
      <c r="P11" s="9" t="n">
        <v>81</v>
      </c>
      <c r="Q11" s="9" t="n">
        <v>81</v>
      </c>
      <c r="R11" s="9" t="n">
        <v>81</v>
      </c>
      <c r="S11" s="9" t="n">
        <v>81</v>
      </c>
      <c r="T11" s="9" t="n">
        <v>81</v>
      </c>
      <c r="U11" s="9" t="n">
        <v>81</v>
      </c>
      <c r="V11" s="40" t="inlineStr">
        <is>
          <t>+8%</t>
        </is>
      </c>
      <c r="W11" s="40" t="inlineStr">
        <is>
          <t>Legally registered enterprises</t>
        </is>
      </c>
    </row>
    <row r="12" ht="18" customHeight="1">
      <c r="A12" s="35" t="inlineStr">
        <is>
          <t>CAPITAL &amp; FUNDING METRICS</t>
        </is>
      </c>
    </row>
    <row r="13" ht="22" customHeight="1">
      <c r="A13" s="39" t="inlineStr">
        <is>
          <t>Total Capital Secured (USD M)</t>
        </is>
      </c>
      <c r="B13" s="23" t="n">
        <v>0.2</v>
      </c>
      <c r="C13" s="23" t="n">
        <v>0.5</v>
      </c>
      <c r="D13" s="23" t="n">
        <v>1</v>
      </c>
      <c r="E13" s="23" t="n">
        <v>1.8</v>
      </c>
      <c r="F13" s="23" t="n">
        <v>3</v>
      </c>
      <c r="G13" s="23" t="n">
        <v>4.2</v>
      </c>
      <c r="H13" s="23" t="n">
        <v>5.5</v>
      </c>
      <c r="I13" s="23" t="n">
        <v>6.5</v>
      </c>
      <c r="J13" s="23" t="n">
        <v>7</v>
      </c>
      <c r="K13" s="23" t="n">
        <v>7.3</v>
      </c>
      <c r="L13" s="23" t="n">
        <v>7.6</v>
      </c>
      <c r="M13" s="23" t="n">
        <v>7.9</v>
      </c>
      <c r="N13" s="23" t="n">
        <v>7.9</v>
      </c>
      <c r="O13" s="23" t="n">
        <v>7.9</v>
      </c>
      <c r="P13" s="23" t="n">
        <v>7.9</v>
      </c>
      <c r="Q13" s="23" t="n">
        <v>7.9</v>
      </c>
      <c r="R13" s="23" t="n">
        <v>7.9</v>
      </c>
      <c r="S13" s="23" t="n">
        <v>7.9</v>
      </c>
      <c r="T13" s="23" t="n">
        <v>7.9</v>
      </c>
      <c r="U13" s="23" t="n">
        <v>7.9</v>
      </c>
      <c r="V13" s="40" t="inlineStr">
        <is>
          <t>0%</t>
        </is>
      </c>
      <c r="W13" s="40" t="inlineStr">
        <is>
          <t>External funding raised</t>
        </is>
      </c>
    </row>
    <row r="14" ht="22" customHeight="1">
      <c r="A14" s="39" t="inlineStr">
        <is>
          <t>Personal/Bootstrap Funding</t>
        </is>
      </c>
      <c r="B14" s="8" t="n">
        <v>95</v>
      </c>
      <c r="C14" s="8" t="n">
        <v>170</v>
      </c>
      <c r="D14" s="8" t="n">
        <v>280</v>
      </c>
      <c r="E14" s="8" t="n">
        <v>420</v>
      </c>
      <c r="F14" s="8" t="n">
        <v>560</v>
      </c>
      <c r="G14" s="8" t="n">
        <v>650</v>
      </c>
      <c r="H14" s="8" t="n">
        <v>700</v>
      </c>
      <c r="I14" s="8" t="n">
        <v>740</v>
      </c>
      <c r="J14" s="8" t="n">
        <v>760</v>
      </c>
      <c r="K14" s="8" t="n">
        <v>770</v>
      </c>
      <c r="L14" s="8" t="n">
        <v>775</v>
      </c>
      <c r="M14" s="8" t="n">
        <v>780</v>
      </c>
      <c r="N14" s="8" t="n">
        <v>785</v>
      </c>
      <c r="O14" s="8" t="n">
        <v>785</v>
      </c>
      <c r="P14" s="8" t="n">
        <v>785</v>
      </c>
      <c r="Q14" s="8" t="n">
        <v>785</v>
      </c>
      <c r="R14" s="8" t="n">
        <v>785</v>
      </c>
      <c r="S14" s="8" t="n">
        <v>785</v>
      </c>
      <c r="T14" s="8" t="n">
        <v>785</v>
      </c>
      <c r="U14" s="8" t="n">
        <v>785</v>
      </c>
      <c r="V14" s="40" t="inlineStr">
        <is>
          <t>+0.6%</t>
        </is>
      </c>
      <c r="W14" s="40" t="inlineStr">
        <is>
          <t>Self-funded enterprises</t>
        </is>
      </c>
    </row>
    <row r="15" ht="22" customHeight="1">
      <c r="A15" s="39" t="inlineStr">
        <is>
          <t>Grant Funding</t>
        </is>
      </c>
      <c r="B15" s="8" t="n">
        <v>12</v>
      </c>
      <c r="C15" s="8" t="n">
        <v>22</v>
      </c>
      <c r="D15" s="8" t="n">
        <v>38</v>
      </c>
      <c r="E15" s="8" t="n">
        <v>58</v>
      </c>
      <c r="F15" s="8" t="n">
        <v>72</v>
      </c>
      <c r="G15" s="8" t="n">
        <v>82</v>
      </c>
      <c r="H15" s="8" t="n">
        <v>85</v>
      </c>
      <c r="I15" s="8" t="n">
        <v>85</v>
      </c>
      <c r="J15" s="8" t="n">
        <v>85</v>
      </c>
      <c r="K15" s="8" t="n">
        <v>85</v>
      </c>
      <c r="L15" s="8" t="n">
        <v>85</v>
      </c>
      <c r="M15" s="8" t="n">
        <v>85</v>
      </c>
      <c r="N15" s="8" t="n">
        <v>85</v>
      </c>
      <c r="O15" s="8" t="n">
        <v>85</v>
      </c>
      <c r="P15" s="8" t="n">
        <v>85</v>
      </c>
      <c r="Q15" s="8" t="n">
        <v>85</v>
      </c>
      <c r="R15" s="8" t="n">
        <v>85</v>
      </c>
      <c r="S15" s="8" t="n">
        <v>85</v>
      </c>
      <c r="T15" s="8" t="n">
        <v>85</v>
      </c>
      <c r="U15" s="8" t="n">
        <v>85</v>
      </c>
      <c r="V15" s="40" t="inlineStr">
        <is>
          <t>0%</t>
        </is>
      </c>
      <c r="W15" s="40" t="inlineStr">
        <is>
          <t>Received grants</t>
        </is>
      </c>
    </row>
    <row r="16" ht="22" customHeight="1">
      <c r="A16" s="39" t="inlineStr">
        <is>
          <t>Angel/Investor Funding</t>
        </is>
      </c>
      <c r="B16" s="8" t="n">
        <v>8</v>
      </c>
      <c r="C16" s="8" t="n">
        <v>15</v>
      </c>
      <c r="D16" s="8" t="n">
        <v>28</v>
      </c>
      <c r="E16" s="8" t="n">
        <v>48</v>
      </c>
      <c r="F16" s="8" t="n">
        <v>65</v>
      </c>
      <c r="G16" s="8" t="n">
        <v>75</v>
      </c>
      <c r="H16" s="8" t="n">
        <v>80</v>
      </c>
      <c r="I16" s="8" t="n">
        <v>85</v>
      </c>
      <c r="J16" s="8" t="n">
        <v>85</v>
      </c>
      <c r="K16" s="8" t="n">
        <v>85</v>
      </c>
      <c r="L16" s="8" t="n">
        <v>85</v>
      </c>
      <c r="M16" s="8" t="n">
        <v>85</v>
      </c>
      <c r="N16" s="8" t="n">
        <v>85</v>
      </c>
      <c r="O16" s="8" t="n">
        <v>85</v>
      </c>
      <c r="P16" s="8" t="n">
        <v>85</v>
      </c>
      <c r="Q16" s="8" t="n">
        <v>85</v>
      </c>
      <c r="R16" s="8" t="n">
        <v>85</v>
      </c>
      <c r="S16" s="8" t="n">
        <v>85</v>
      </c>
      <c r="T16" s="8" t="n">
        <v>85</v>
      </c>
      <c r="U16" s="8" t="n">
        <v>85</v>
      </c>
      <c r="V16" s="40" t="inlineStr">
        <is>
          <t>0%</t>
        </is>
      </c>
      <c r="W16" s="40" t="inlineStr">
        <is>
          <t>Angel/VC funding</t>
        </is>
      </c>
    </row>
    <row r="17" ht="22" customHeight="1">
      <c r="A17" s="39" t="inlineStr">
        <is>
          <t>Revenue-Generating Enterprises (%)</t>
        </is>
      </c>
      <c r="B17" s="9" t="n">
        <v>25</v>
      </c>
      <c r="C17" s="9" t="n">
        <v>35</v>
      </c>
      <c r="D17" s="9" t="n">
        <v>48</v>
      </c>
      <c r="E17" s="9" t="n">
        <v>62</v>
      </c>
      <c r="F17" s="9" t="n">
        <v>75</v>
      </c>
      <c r="G17" s="9" t="n">
        <v>82</v>
      </c>
      <c r="H17" s="9" t="n">
        <v>85</v>
      </c>
      <c r="I17" s="9" t="n">
        <v>87</v>
      </c>
      <c r="J17" s="9" t="n">
        <v>88</v>
      </c>
      <c r="K17" s="9" t="n">
        <v>89</v>
      </c>
      <c r="L17" s="9" t="n">
        <v>89</v>
      </c>
      <c r="M17" s="9" t="n">
        <v>90</v>
      </c>
      <c r="N17" s="9" t="n">
        <v>90</v>
      </c>
      <c r="O17" s="9" t="n">
        <v>90</v>
      </c>
      <c r="P17" s="9" t="n">
        <v>90</v>
      </c>
      <c r="Q17" s="9" t="n">
        <v>90</v>
      </c>
      <c r="R17" s="9" t="n">
        <v>90</v>
      </c>
      <c r="S17" s="9" t="n">
        <v>90</v>
      </c>
      <c r="T17" s="9" t="n">
        <v>90</v>
      </c>
      <c r="U17" s="9" t="n">
        <v>90</v>
      </c>
      <c r="V17" s="40" t="inlineStr">
        <is>
          <t>+3.4%</t>
        </is>
      </c>
      <c r="W17" s="40" t="inlineStr">
        <is>
          <t>% generating monthly revenue</t>
        </is>
      </c>
    </row>
    <row r="18" ht="18" customHeight="1">
      <c r="A18" s="35" t="inlineStr">
        <is>
          <t>EMPLOYMENT &amp; ECONOMIC IMPACT</t>
        </is>
      </c>
    </row>
    <row r="19" ht="22" customHeight="1">
      <c r="A19" s="39" t="inlineStr">
        <is>
          <t>Total Jobs Created</t>
        </is>
      </c>
      <c r="B19" s="8" t="n">
        <v>1200</v>
      </c>
      <c r="C19" s="8" t="n">
        <v>2100</v>
      </c>
      <c r="D19" s="8" t="n">
        <v>3500</v>
      </c>
      <c r="E19" s="8" t="n">
        <v>5200</v>
      </c>
      <c r="F19" s="8" t="n">
        <v>7500</v>
      </c>
      <c r="G19" s="8" t="n">
        <v>9500</v>
      </c>
      <c r="H19" s="8" t="n">
        <v>11500</v>
      </c>
      <c r="I19" s="8" t="n">
        <v>14000</v>
      </c>
      <c r="J19" s="8" t="n">
        <v>18000</v>
      </c>
      <c r="K19" s="8" t="n">
        <v>30000</v>
      </c>
      <c r="L19" s="8" t="n">
        <v>40000</v>
      </c>
      <c r="M19" s="8" t="n">
        <v>50000</v>
      </c>
      <c r="N19" s="8" t="n">
        <v>52000</v>
      </c>
      <c r="O19" s="8" t="n">
        <v>53000</v>
      </c>
      <c r="P19" s="8" t="n">
        <v>53500</v>
      </c>
      <c r="Q19" s="8" t="n">
        <v>54000</v>
      </c>
      <c r="R19" s="8" t="n">
        <v>54700</v>
      </c>
      <c r="S19" s="8" t="n">
        <v>54700</v>
      </c>
      <c r="T19" s="8" t="n">
        <v>54700</v>
      </c>
      <c r="U19" s="8" t="n">
        <v>54700</v>
      </c>
      <c r="V19" s="40" t="inlineStr">
        <is>
          <t>+1.3%</t>
        </is>
      </c>
      <c r="W19" s="40" t="inlineStr">
        <is>
          <t>Cumulative jobs created</t>
        </is>
      </c>
    </row>
    <row r="20" ht="22" customHeight="1">
      <c r="A20" s="39" t="inlineStr">
        <is>
          <t>Full-time Jobs</t>
        </is>
      </c>
      <c r="B20" s="8" t="n">
        <v>600</v>
      </c>
      <c r="C20" s="8" t="n">
        <v>1050</v>
      </c>
      <c r="D20" s="8" t="n">
        <v>1750</v>
      </c>
      <c r="E20" s="8" t="n">
        <v>2600</v>
      </c>
      <c r="F20" s="8" t="n">
        <v>3750</v>
      </c>
      <c r="G20" s="8" t="n">
        <v>4750</v>
      </c>
      <c r="H20" s="8" t="n">
        <v>5750</v>
      </c>
      <c r="I20" s="8" t="n">
        <v>7000</v>
      </c>
      <c r="J20" s="8" t="n">
        <v>9000</v>
      </c>
      <c r="K20" s="8" t="n">
        <v>15000</v>
      </c>
      <c r="L20" s="8" t="n">
        <v>20000</v>
      </c>
      <c r="M20" s="8" t="n">
        <v>25000</v>
      </c>
      <c r="N20" s="8" t="n">
        <v>27000</v>
      </c>
      <c r="O20" s="8" t="n">
        <v>28000</v>
      </c>
      <c r="P20" s="8" t="n">
        <v>28500</v>
      </c>
      <c r="Q20" s="8" t="n">
        <v>29000</v>
      </c>
      <c r="R20" s="8" t="n">
        <v>29400</v>
      </c>
      <c r="S20" s="8" t="n">
        <v>29400</v>
      </c>
      <c r="T20" s="8" t="n">
        <v>29400</v>
      </c>
      <c r="U20" s="8" t="n">
        <v>29400</v>
      </c>
      <c r="V20" s="40" t="inlineStr">
        <is>
          <t>+1.4%</t>
        </is>
      </c>
      <c r="W20" s="40" t="inlineStr">
        <is>
          <t>Permanent full-time positions</t>
        </is>
      </c>
    </row>
    <row r="21" ht="22" customHeight="1">
      <c r="A21" s="39" t="inlineStr">
        <is>
          <t>Part-time Jobs</t>
        </is>
      </c>
      <c r="B21" s="8" t="n">
        <v>300</v>
      </c>
      <c r="C21" s="8" t="n">
        <v>525</v>
      </c>
      <c r="D21" s="8" t="n">
        <v>875</v>
      </c>
      <c r="E21" s="8" t="n">
        <v>1300</v>
      </c>
      <c r="F21" s="8" t="n">
        <v>1875</v>
      </c>
      <c r="G21" s="8" t="n">
        <v>2375</v>
      </c>
      <c r="H21" s="8" t="n">
        <v>2875</v>
      </c>
      <c r="I21" s="8" t="n">
        <v>3500</v>
      </c>
      <c r="J21" s="8" t="n">
        <v>4500</v>
      </c>
      <c r="K21" s="8" t="n">
        <v>7500</v>
      </c>
      <c r="L21" s="8" t="n">
        <v>10000</v>
      </c>
      <c r="M21" s="8" t="n">
        <v>12500</v>
      </c>
      <c r="N21" s="8" t="n">
        <v>13000</v>
      </c>
      <c r="O21" s="8" t="n">
        <v>14000</v>
      </c>
      <c r="P21" s="8" t="n">
        <v>14500</v>
      </c>
      <c r="Q21" s="8" t="n">
        <v>15000</v>
      </c>
      <c r="R21" s="8" t="n">
        <v>15400</v>
      </c>
      <c r="S21" s="8" t="n">
        <v>15400</v>
      </c>
      <c r="T21" s="8" t="n">
        <v>15400</v>
      </c>
      <c r="U21" s="8" t="n">
        <v>15400</v>
      </c>
      <c r="V21" s="40" t="inlineStr">
        <is>
          <t>+1.3%</t>
        </is>
      </c>
      <c r="W21" s="40" t="inlineStr">
        <is>
          <t>Part-time/flexible positions</t>
        </is>
      </c>
    </row>
    <row r="22" ht="22" customHeight="1">
      <c r="A22" s="39" t="inlineStr">
        <is>
          <t>Jobs for Women</t>
        </is>
      </c>
      <c r="B22" s="8" t="n">
        <v>660</v>
      </c>
      <c r="C22" s="8" t="n">
        <v>1155</v>
      </c>
      <c r="D22" s="8" t="n">
        <v>1925</v>
      </c>
      <c r="E22" s="8" t="n">
        <v>2860</v>
      </c>
      <c r="F22" s="8" t="n">
        <v>4125</v>
      </c>
      <c r="G22" s="8" t="n">
        <v>5225</v>
      </c>
      <c r="H22" s="8" t="n">
        <v>6325</v>
      </c>
      <c r="I22" s="8" t="n">
        <v>7700</v>
      </c>
      <c r="J22" s="8" t="n">
        <v>9900</v>
      </c>
      <c r="K22" s="8" t="n">
        <v>16500</v>
      </c>
      <c r="L22" s="8" t="n">
        <v>22000</v>
      </c>
      <c r="M22" s="8" t="n">
        <v>27500</v>
      </c>
      <c r="N22" s="8" t="n">
        <v>28600</v>
      </c>
      <c r="O22" s="8" t="n">
        <v>29150</v>
      </c>
      <c r="P22" s="8" t="n">
        <v>29425</v>
      </c>
      <c r="Q22" s="8" t="n">
        <v>29700</v>
      </c>
      <c r="R22" s="8" t="n">
        <v>30085</v>
      </c>
      <c r="S22" s="8" t="n">
        <v>30085</v>
      </c>
      <c r="T22" s="8" t="n">
        <v>30085</v>
      </c>
      <c r="U22" s="8" t="n">
        <v>30085</v>
      </c>
      <c r="V22" s="40" t="inlineStr">
        <is>
          <t>+1.3%</t>
        </is>
      </c>
      <c r="W22" s="40" t="inlineStr">
        <is>
          <t>Female employment</t>
        </is>
      </c>
    </row>
    <row r="23" ht="22" customHeight="1">
      <c r="A23" s="39" t="inlineStr">
        <is>
          <t>Jobs for Youth (&lt;35)</t>
        </is>
      </c>
      <c r="B23" s="8" t="n">
        <v>480</v>
      </c>
      <c r="C23" s="8" t="n">
        <v>840</v>
      </c>
      <c r="D23" s="8" t="n">
        <v>1400</v>
      </c>
      <c r="E23" s="8" t="n">
        <v>2080</v>
      </c>
      <c r="F23" s="8" t="n">
        <v>3000</v>
      </c>
      <c r="G23" s="8" t="n">
        <v>3800</v>
      </c>
      <c r="H23" s="8" t="n">
        <v>4600</v>
      </c>
      <c r="I23" s="8" t="n">
        <v>5600</v>
      </c>
      <c r="J23" s="8" t="n">
        <v>7200</v>
      </c>
      <c r="K23" s="8" t="n">
        <v>12000</v>
      </c>
      <c r="L23" s="8" t="n">
        <v>16000</v>
      </c>
      <c r="M23" s="8" t="n">
        <v>20000</v>
      </c>
      <c r="N23" s="8" t="n">
        <v>21600</v>
      </c>
      <c r="O23" s="8" t="n">
        <v>22300</v>
      </c>
      <c r="P23" s="8" t="n">
        <v>22900</v>
      </c>
      <c r="Q23" s="8" t="n">
        <v>23600</v>
      </c>
      <c r="R23" s="8" t="n">
        <v>24345</v>
      </c>
      <c r="S23" s="8" t="n">
        <v>24345</v>
      </c>
      <c r="T23" s="8" t="n">
        <v>24345</v>
      </c>
      <c r="U23" s="8" t="n">
        <v>24345</v>
      </c>
      <c r="V23" s="40" t="inlineStr">
        <is>
          <t>+3.1%</t>
        </is>
      </c>
      <c r="W23" s="40" t="inlineStr">
        <is>
          <t>Youth employment creation</t>
        </is>
      </c>
    </row>
    <row r="24" ht="22" customHeight="1">
      <c r="A24" s="39" t="inlineStr">
        <is>
          <t>Avg Jobs per Enterprise</t>
        </is>
      </c>
      <c r="B24" s="9" t="n">
        <v>2.5</v>
      </c>
      <c r="C24" s="9" t="n">
        <v>2.6</v>
      </c>
      <c r="D24" s="9" t="n">
        <v>2.7</v>
      </c>
      <c r="E24" s="9" t="n">
        <v>2.8</v>
      </c>
      <c r="F24" s="9" t="n">
        <v>3</v>
      </c>
      <c r="G24" s="9" t="n">
        <v>3.2</v>
      </c>
      <c r="H24" s="9" t="n">
        <v>3.4</v>
      </c>
      <c r="I24" s="9" t="n">
        <v>3.6</v>
      </c>
      <c r="J24" s="9" t="n">
        <v>3.8</v>
      </c>
      <c r="K24" s="9" t="n">
        <v>4.5</v>
      </c>
      <c r="L24" s="9" t="n">
        <v>5.2</v>
      </c>
      <c r="M24" s="9" t="n">
        <v>5.8</v>
      </c>
      <c r="N24" s="9" t="n">
        <v>6</v>
      </c>
      <c r="O24" s="9" t="n">
        <v>6.1</v>
      </c>
      <c r="P24" s="9" t="n">
        <v>6.2</v>
      </c>
      <c r="Q24" s="9" t="n">
        <v>6.3</v>
      </c>
      <c r="R24" s="9" t="n">
        <v>6.4</v>
      </c>
      <c r="S24" s="9" t="n">
        <v>6.4</v>
      </c>
      <c r="T24" s="9" t="n">
        <v>6.4</v>
      </c>
      <c r="U24" s="9" t="n">
        <v>6.4</v>
      </c>
      <c r="V24" s="40" t="inlineStr">
        <is>
          <t>+8%</t>
        </is>
      </c>
      <c r="W24" s="40" t="inlineStr">
        <is>
          <t>Average jobs per venture</t>
        </is>
      </c>
    </row>
    <row r="25" ht="18" customHeight="1">
      <c r="A25" s="35" t="inlineStr">
        <is>
          <t>BUSINESS PORTFOLIO &amp; GROWTH METRICS</t>
        </is>
      </c>
    </row>
    <row r="26" ht="22" customHeight="1">
      <c r="A26" s="39" t="inlineStr">
        <is>
          <t>Pre-seed Stage Enterprises</t>
        </is>
      </c>
      <c r="B26" s="8" t="n">
        <v>28</v>
      </c>
      <c r="C26" s="8" t="n">
        <v>48</v>
      </c>
      <c r="D26" s="8" t="n">
        <v>82</v>
      </c>
      <c r="E26" s="8" t="n">
        <v>125</v>
      </c>
      <c r="F26" s="8" t="n">
        <v>145</v>
      </c>
      <c r="G26" s="8" t="n">
        <v>155</v>
      </c>
      <c r="H26" s="8" t="n">
        <v>160</v>
      </c>
      <c r="I26" s="8" t="n">
        <v>170</v>
      </c>
      <c r="J26" s="8" t="n">
        <v>180</v>
      </c>
      <c r="K26" s="8" t="n">
        <v>185</v>
      </c>
      <c r="L26" s="8" t="n">
        <v>190</v>
      </c>
      <c r="M26" s="8" t="n">
        <v>195</v>
      </c>
      <c r="N26" s="8" t="n">
        <v>200</v>
      </c>
      <c r="O26" s="8" t="n">
        <v>210</v>
      </c>
      <c r="P26" s="8" t="n">
        <v>215</v>
      </c>
      <c r="Q26" s="8" t="n">
        <v>220</v>
      </c>
      <c r="R26" s="8" t="n">
        <v>224</v>
      </c>
      <c r="S26" s="8" t="n">
        <v>224</v>
      </c>
      <c r="T26" s="8" t="n">
        <v>224</v>
      </c>
      <c r="U26" s="8" t="n">
        <v>224</v>
      </c>
      <c r="V26" s="40" t="inlineStr">
        <is>
          <t>0%</t>
        </is>
      </c>
      <c r="W26" s="40" t="inlineStr">
        <is>
          <t>Pre-seed Stage Enterprises trend</t>
        </is>
      </c>
    </row>
    <row r="27" ht="22" customHeight="1">
      <c r="A27" s="39" t="inlineStr">
        <is>
          <t>Seed Stage Enterprises</t>
        </is>
      </c>
      <c r="B27" s="8" t="n">
        <v>18</v>
      </c>
      <c r="C27" s="8" t="n">
        <v>32</v>
      </c>
      <c r="D27" s="8" t="n">
        <v>55</v>
      </c>
      <c r="E27" s="8" t="n">
        <v>85</v>
      </c>
      <c r="F27" s="8" t="n">
        <v>105</v>
      </c>
      <c r="G27" s="8" t="n">
        <v>125</v>
      </c>
      <c r="H27" s="8" t="n">
        <v>145</v>
      </c>
      <c r="I27" s="8" t="n">
        <v>165</v>
      </c>
      <c r="J27" s="8" t="n">
        <v>180</v>
      </c>
      <c r="K27" s="8" t="n">
        <v>185</v>
      </c>
      <c r="L27" s="8" t="n">
        <v>187</v>
      </c>
      <c r="M27" s="8" t="n">
        <v>189</v>
      </c>
      <c r="N27" s="8" t="n">
        <v>190</v>
      </c>
      <c r="O27" s="8" t="n">
        <v>190</v>
      </c>
      <c r="P27" s="8" t="n">
        <v>190</v>
      </c>
      <c r="Q27" s="8" t="n">
        <v>190</v>
      </c>
      <c r="R27" s="8" t="n">
        <v>190</v>
      </c>
      <c r="S27" s="8" t="n">
        <v>190</v>
      </c>
      <c r="T27" s="8" t="n">
        <v>190</v>
      </c>
      <c r="U27" s="8" t="n">
        <v>190</v>
      </c>
      <c r="V27" s="40" t="inlineStr">
        <is>
          <t>0%</t>
        </is>
      </c>
      <c r="W27" s="40" t="inlineStr">
        <is>
          <t>Seed Stage Enterprises trend</t>
        </is>
      </c>
    </row>
    <row r="28" ht="22" customHeight="1">
      <c r="A28" s="39" t="inlineStr">
        <is>
          <t>Early-stage Enterprises</t>
        </is>
      </c>
      <c r="B28" s="8" t="n">
        <v>12</v>
      </c>
      <c r="C28" s="8" t="n">
        <v>22</v>
      </c>
      <c r="D28" s="8" t="n">
        <v>38</v>
      </c>
      <c r="E28" s="8" t="n">
        <v>58</v>
      </c>
      <c r="F28" s="8" t="n">
        <v>75</v>
      </c>
      <c r="G28" s="8" t="n">
        <v>90</v>
      </c>
      <c r="H28" s="8" t="n">
        <v>105</v>
      </c>
      <c r="I28" s="8" t="n">
        <v>120</v>
      </c>
      <c r="J28" s="8" t="n">
        <v>135</v>
      </c>
      <c r="K28" s="8" t="n">
        <v>145</v>
      </c>
      <c r="L28" s="8" t="n">
        <v>155</v>
      </c>
      <c r="M28" s="8" t="n">
        <v>165</v>
      </c>
      <c r="N28" s="8" t="n">
        <v>170</v>
      </c>
      <c r="O28" s="8" t="n">
        <v>170</v>
      </c>
      <c r="P28" s="8" t="n">
        <v>170</v>
      </c>
      <c r="Q28" s="8" t="n">
        <v>170</v>
      </c>
      <c r="R28" s="8" t="n">
        <v>170</v>
      </c>
      <c r="S28" s="8" t="n">
        <v>170</v>
      </c>
      <c r="T28" s="8" t="n">
        <v>170</v>
      </c>
      <c r="U28" s="8" t="n">
        <v>170</v>
      </c>
      <c r="V28" s="40" t="inlineStr">
        <is>
          <t>0%</t>
        </is>
      </c>
      <c r="W28" s="40" t="inlineStr">
        <is>
          <t>Early-stage Enterprises trend</t>
        </is>
      </c>
    </row>
    <row r="29" ht="22" customHeight="1">
      <c r="A29" s="39" t="inlineStr">
        <is>
          <t>Growth Stage Enterprises</t>
        </is>
      </c>
      <c r="B29" s="8" t="n">
        <v>8</v>
      </c>
      <c r="C29" s="8" t="n">
        <v>15</v>
      </c>
      <c r="D29" s="8" t="n">
        <v>28</v>
      </c>
      <c r="E29" s="8" t="n">
        <v>48</v>
      </c>
      <c r="F29" s="8" t="n">
        <v>65</v>
      </c>
      <c r="G29" s="8" t="n">
        <v>80</v>
      </c>
      <c r="H29" s="8" t="n">
        <v>90</v>
      </c>
      <c r="I29" s="8" t="n">
        <v>100</v>
      </c>
      <c r="J29" s="8" t="n">
        <v>110</v>
      </c>
      <c r="K29" s="8" t="n">
        <v>115</v>
      </c>
      <c r="L29" s="8" t="n">
        <v>118</v>
      </c>
      <c r="M29" s="8" t="n">
        <v>120</v>
      </c>
      <c r="N29" s="8" t="n">
        <v>125</v>
      </c>
      <c r="O29" s="8" t="n">
        <v>125</v>
      </c>
      <c r="P29" s="8" t="n">
        <v>125</v>
      </c>
      <c r="Q29" s="8" t="n">
        <v>125</v>
      </c>
      <c r="R29" s="8" t="n">
        <v>125</v>
      </c>
      <c r="S29" s="8" t="n">
        <v>125</v>
      </c>
      <c r="T29" s="8" t="n">
        <v>125</v>
      </c>
      <c r="U29" s="8" t="n">
        <v>125</v>
      </c>
      <c r="V29" s="40" t="inlineStr">
        <is>
          <t>0%</t>
        </is>
      </c>
      <c r="W29" s="40" t="inlineStr">
        <is>
          <t>Growth Stage Enterprises trend</t>
        </is>
      </c>
    </row>
    <row r="30" ht="22" customHeight="1">
      <c r="A30" s="39" t="inlineStr">
        <is>
          <t>Scaling Stage Enterprises</t>
        </is>
      </c>
      <c r="B30" s="8" t="n">
        <v>2</v>
      </c>
      <c r="C30" s="8" t="n">
        <v>4</v>
      </c>
      <c r="D30" s="8" t="n">
        <v>8</v>
      </c>
      <c r="E30" s="8" t="n">
        <v>14</v>
      </c>
      <c r="F30" s="8" t="n">
        <v>22</v>
      </c>
      <c r="G30" s="8" t="n">
        <v>28</v>
      </c>
      <c r="H30" s="8" t="n">
        <v>35</v>
      </c>
      <c r="I30" s="8" t="n">
        <v>42</v>
      </c>
      <c r="J30" s="8" t="n">
        <v>50</v>
      </c>
      <c r="K30" s="8" t="n">
        <v>55</v>
      </c>
      <c r="L30" s="8" t="n">
        <v>58</v>
      </c>
      <c r="M30" s="8" t="n">
        <v>60</v>
      </c>
      <c r="N30" s="8" t="n">
        <v>62</v>
      </c>
      <c r="O30" s="8" t="n">
        <v>62</v>
      </c>
      <c r="P30" s="8" t="n">
        <v>62</v>
      </c>
      <c r="Q30" s="8" t="n">
        <v>62</v>
      </c>
      <c r="R30" s="8" t="n">
        <v>62</v>
      </c>
      <c r="S30" s="8" t="n">
        <v>62</v>
      </c>
      <c r="T30" s="8" t="n">
        <v>62</v>
      </c>
      <c r="U30" s="8" t="n">
        <v>62</v>
      </c>
      <c r="V30" s="40" t="inlineStr">
        <is>
          <t>0%</t>
        </is>
      </c>
      <c r="W30" s="40" t="inlineStr">
        <is>
          <t>Scaling Stage Enterprises trend</t>
        </is>
      </c>
    </row>
    <row r="31" ht="22" customHeight="1">
      <c r="A31" s="39" t="inlineStr">
        <is>
          <t>Technology-enabled Enterprises (%)</t>
        </is>
      </c>
      <c r="B31" s="9" t="n">
        <v>28</v>
      </c>
      <c r="C31" s="9" t="n">
        <v>32</v>
      </c>
      <c r="D31" s="9" t="n">
        <v>38</v>
      </c>
      <c r="E31" s="9" t="n">
        <v>44</v>
      </c>
      <c r="F31" s="9" t="n">
        <v>50</v>
      </c>
      <c r="G31" s="9" t="n">
        <v>55</v>
      </c>
      <c r="H31" s="9" t="n">
        <v>58</v>
      </c>
      <c r="I31" s="9" t="n">
        <v>60</v>
      </c>
      <c r="J31" s="9" t="n">
        <v>62</v>
      </c>
      <c r="K31" s="9" t="n">
        <v>63</v>
      </c>
      <c r="L31" s="9" t="n">
        <v>64</v>
      </c>
      <c r="M31" s="9" t="n">
        <v>64</v>
      </c>
      <c r="N31" s="9" t="n">
        <v>64</v>
      </c>
      <c r="O31" s="9" t="n">
        <v>64</v>
      </c>
      <c r="P31" s="9" t="n">
        <v>64</v>
      </c>
      <c r="Q31" s="9" t="n">
        <v>64</v>
      </c>
      <c r="R31" s="9" t="n">
        <v>64</v>
      </c>
      <c r="S31" s="9" t="n">
        <v>64</v>
      </c>
      <c r="T31" s="9" t="n">
        <v>64</v>
      </c>
      <c r="U31" s="9" t="n">
        <v>64</v>
      </c>
      <c r="V31" s="40" t="inlineStr">
        <is>
          <t>0%</t>
        </is>
      </c>
      <c r="W31" s="40" t="inlineStr">
        <is>
          <t>Technology-enabled Enterprises (%) trend</t>
        </is>
      </c>
    </row>
    <row r="32" ht="18" customHeight="1">
      <c r="A32" s="35" t="inlineStr">
        <is>
          <t>CHII SUPPORT &amp; INTERVENTIONS</t>
        </is>
      </c>
    </row>
    <row r="33" ht="22" customHeight="1">
      <c r="A33" s="39" t="inlineStr">
        <is>
          <t>Entrepreneurs Receiving CHII Support</t>
        </is>
      </c>
      <c r="B33" s="9" t="n">
        <v>25</v>
      </c>
      <c r="C33" s="9" t="n">
        <v>45</v>
      </c>
      <c r="D33" s="9" t="n">
        <v>75</v>
      </c>
      <c r="E33" s="9" t="n">
        <v>115</v>
      </c>
      <c r="F33" s="9" t="n">
        <v>155</v>
      </c>
      <c r="G33" s="9" t="n">
        <v>185</v>
      </c>
      <c r="H33" s="9" t="n">
        <v>210</v>
      </c>
      <c r="I33" s="9" t="n">
        <v>235</v>
      </c>
      <c r="J33" s="9" t="n">
        <v>240</v>
      </c>
      <c r="K33" s="9" t="n">
        <v>235</v>
      </c>
      <c r="L33" s="9" t="n">
        <v>234</v>
      </c>
      <c r="M33" s="9" t="n">
        <v>232</v>
      </c>
      <c r="N33" s="9" t="n">
        <v>232</v>
      </c>
      <c r="O33" s="9" t="n">
        <v>232</v>
      </c>
      <c r="P33" s="9" t="n">
        <v>232</v>
      </c>
      <c r="Q33" s="9" t="n">
        <v>232</v>
      </c>
      <c r="R33" s="9" t="n">
        <v>232</v>
      </c>
      <c r="S33" s="9" t="n">
        <v>232</v>
      </c>
      <c r="T33" s="9" t="n">
        <v>232</v>
      </c>
      <c r="U33" s="9" t="n">
        <v>232</v>
      </c>
      <c r="V33" s="40" t="inlineStr">
        <is>
          <t>-1.7%</t>
        </is>
      </c>
      <c r="W33" s="40" t="inlineStr">
        <is>
          <t>Active in CHII programmes</t>
        </is>
      </c>
    </row>
    <row r="34" ht="22" customHeight="1">
      <c r="A34" s="39" t="inlineStr">
        <is>
          <t>Mentorship Uptake</t>
        </is>
      </c>
      <c r="B34" s="9" t="n">
        <v>18</v>
      </c>
      <c r="C34" s="9" t="n">
        <v>32</v>
      </c>
      <c r="D34" s="9" t="n">
        <v>55</v>
      </c>
      <c r="E34" s="9" t="n">
        <v>88</v>
      </c>
      <c r="F34" s="9" t="n">
        <v>125</v>
      </c>
      <c r="G34" s="9" t="n">
        <v>150</v>
      </c>
      <c r="H34" s="9" t="n">
        <v>170</v>
      </c>
      <c r="I34" s="9" t="n">
        <v>185</v>
      </c>
      <c r="J34" s="9" t="n">
        <v>185</v>
      </c>
      <c r="K34" s="9" t="n">
        <v>185</v>
      </c>
      <c r="L34" s="9" t="n">
        <v>185</v>
      </c>
      <c r="M34" s="9" t="n">
        <v>185</v>
      </c>
      <c r="N34" s="9" t="n">
        <v>185</v>
      </c>
      <c r="O34" s="9" t="n">
        <v>185</v>
      </c>
      <c r="P34" s="9" t="n">
        <v>185</v>
      </c>
      <c r="Q34" s="9" t="n">
        <v>185</v>
      </c>
      <c r="R34" s="9" t="n">
        <v>184</v>
      </c>
      <c r="S34" s="9" t="n">
        <v>184</v>
      </c>
      <c r="T34" s="9" t="n">
        <v>184</v>
      </c>
      <c r="U34" s="9" t="n">
        <v>184</v>
      </c>
      <c r="V34" s="40" t="inlineStr">
        <is>
          <t>-0.5%</t>
        </is>
      </c>
      <c r="W34" s="40" t="inlineStr">
        <is>
          <t>Entrepreneurs in mentorship</t>
        </is>
      </c>
    </row>
    <row r="35" ht="22" customHeight="1">
      <c r="A35" s="39" t="inlineStr">
        <is>
          <t>Training Programme Participation</t>
        </is>
      </c>
      <c r="B35" s="9" t="n">
        <v>12</v>
      </c>
      <c r="C35" s="9" t="n">
        <v>22</v>
      </c>
      <c r="D35" s="9" t="n">
        <v>38</v>
      </c>
      <c r="E35" s="9" t="n">
        <v>58</v>
      </c>
      <c r="F35" s="9" t="n">
        <v>82</v>
      </c>
      <c r="G35" s="9" t="n">
        <v>105</v>
      </c>
      <c r="H35" s="9" t="n">
        <v>128</v>
      </c>
      <c r="I35" s="9" t="n">
        <v>150</v>
      </c>
      <c r="J35" s="9" t="n">
        <v>160</v>
      </c>
      <c r="K35" s="9" t="n">
        <v>158</v>
      </c>
      <c r="L35" s="9" t="n">
        <v>157</v>
      </c>
      <c r="M35" s="9" t="n">
        <v>156</v>
      </c>
      <c r="N35" s="9" t="n">
        <v>156</v>
      </c>
      <c r="O35" s="9" t="n">
        <v>156</v>
      </c>
      <c r="P35" s="9" t="n">
        <v>156</v>
      </c>
      <c r="Q35" s="9" t="n">
        <v>156</v>
      </c>
      <c r="R35" s="9" t="n">
        <v>156</v>
      </c>
      <c r="S35" s="9" t="n">
        <v>156</v>
      </c>
      <c r="T35" s="9" t="n">
        <v>156</v>
      </c>
      <c r="U35" s="9" t="n">
        <v>156</v>
      </c>
      <c r="V35" s="40" t="inlineStr">
        <is>
          <t>+0%</t>
        </is>
      </c>
      <c r="W35" s="40" t="inlineStr">
        <is>
          <t>Training programme graduates</t>
        </is>
      </c>
    </row>
    <row r="36" ht="22" customHeight="1">
      <c r="A36" s="39" t="inlineStr">
        <is>
          <t>Seed Funding Provision</t>
        </is>
      </c>
      <c r="B36" s="9" t="n">
        <v>8</v>
      </c>
      <c r="C36" s="9" t="n">
        <v>15</v>
      </c>
      <c r="D36" s="9" t="n">
        <v>28</v>
      </c>
      <c r="E36" s="9" t="n">
        <v>48</v>
      </c>
      <c r="F36" s="9" t="n">
        <v>68</v>
      </c>
      <c r="G36" s="9" t="n">
        <v>88</v>
      </c>
      <c r="H36" s="9" t="n">
        <v>108</v>
      </c>
      <c r="I36" s="9" t="n">
        <v>128</v>
      </c>
      <c r="J36" s="9" t="n">
        <v>140</v>
      </c>
      <c r="K36" s="9" t="n">
        <v>141</v>
      </c>
      <c r="L36" s="9" t="n">
        <v>141</v>
      </c>
      <c r="M36" s="9" t="n">
        <v>142</v>
      </c>
      <c r="N36" s="9" t="n">
        <v>142</v>
      </c>
      <c r="O36" s="9" t="n">
        <v>142</v>
      </c>
      <c r="P36" s="9" t="n">
        <v>142</v>
      </c>
      <c r="Q36" s="9" t="n">
        <v>142</v>
      </c>
      <c r="R36" s="9" t="n">
        <v>142</v>
      </c>
      <c r="S36" s="9" t="n">
        <v>142</v>
      </c>
      <c r="T36" s="9" t="n">
        <v>142</v>
      </c>
      <c r="U36" s="9" t="n">
        <v>142</v>
      </c>
      <c r="V36" s="40" t="inlineStr">
        <is>
          <t>+0.7%</t>
        </is>
      </c>
      <c r="W36" s="40" t="inlineStr">
        <is>
          <t>Seed funding recipients</t>
        </is>
      </c>
    </row>
    <row r="37" ht="22" customHeight="1">
      <c r="A37" s="39" t="inlineStr">
        <is>
          <t>Incubation Programme</t>
        </is>
      </c>
      <c r="B37" s="9" t="n">
        <v>6</v>
      </c>
      <c r="C37" s="9" t="n">
        <v>12</v>
      </c>
      <c r="D37" s="9" t="n">
        <v>22</v>
      </c>
      <c r="E37" s="9" t="n">
        <v>38</v>
      </c>
      <c r="F37" s="9" t="n">
        <v>55</v>
      </c>
      <c r="G37" s="9" t="n">
        <v>72</v>
      </c>
      <c r="H37" s="9" t="n">
        <v>88</v>
      </c>
      <c r="I37" s="9" t="n">
        <v>102</v>
      </c>
      <c r="J37" s="9" t="n">
        <v>110</v>
      </c>
      <c r="K37" s="9" t="n">
        <v>114</v>
      </c>
      <c r="L37" s="9" t="n">
        <v>117</v>
      </c>
      <c r="M37" s="9" t="n">
        <v>118</v>
      </c>
      <c r="N37" s="9" t="n">
        <v>118</v>
      </c>
      <c r="O37" s="9" t="n">
        <v>118</v>
      </c>
      <c r="P37" s="9" t="n">
        <v>118</v>
      </c>
      <c r="Q37" s="9" t="n">
        <v>118</v>
      </c>
      <c r="R37" s="9" t="n">
        <v>118</v>
      </c>
      <c r="S37" s="9" t="n">
        <v>118</v>
      </c>
      <c r="T37" s="9" t="n">
        <v>118</v>
      </c>
      <c r="U37" s="9" t="n">
        <v>118</v>
      </c>
      <c r="V37" s="40" t="inlineStr">
        <is>
          <t>+0%</t>
        </is>
      </c>
      <c r="W37" s="40" t="inlineStr">
        <is>
          <t>Incubated entrepreneurs</t>
        </is>
      </c>
    </row>
    <row r="38" ht="22" customHeight="1">
      <c r="A38" s="39" t="inlineStr">
        <is>
          <t>Mentor Satisfaction Rating (1-5)</t>
        </is>
      </c>
      <c r="B38" s="9" t="n">
        <v>3.8</v>
      </c>
      <c r="C38" s="9" t="n">
        <v>4</v>
      </c>
      <c r="D38" s="9" t="n">
        <v>4.1</v>
      </c>
      <c r="E38" s="9" t="n">
        <v>4.2</v>
      </c>
      <c r="F38" s="9" t="n">
        <v>4.3</v>
      </c>
      <c r="G38" s="9" t="n">
        <v>4.3</v>
      </c>
      <c r="H38" s="9" t="n">
        <v>4.4</v>
      </c>
      <c r="I38" s="9" t="n">
        <v>4.4</v>
      </c>
      <c r="J38" s="9" t="n">
        <v>4.4</v>
      </c>
      <c r="K38" s="9" t="n">
        <v>4.4</v>
      </c>
      <c r="L38" s="9" t="n">
        <v>4.4</v>
      </c>
      <c r="M38" s="9" t="n">
        <v>4.4</v>
      </c>
      <c r="N38" s="9" t="n">
        <v>4.4</v>
      </c>
      <c r="O38" s="9" t="n">
        <v>4.4</v>
      </c>
      <c r="P38" s="9" t="n">
        <v>4.4</v>
      </c>
      <c r="Q38" s="9" t="n">
        <v>4.4</v>
      </c>
      <c r="R38" s="9" t="n">
        <v>4.4</v>
      </c>
      <c r="S38" s="9" t="n">
        <v>4.4</v>
      </c>
      <c r="T38" s="9" t="n">
        <v>4.4</v>
      </c>
      <c r="U38" s="9" t="n">
        <v>4.4</v>
      </c>
      <c r="V38" s="40" t="inlineStr">
        <is>
          <t>0%</t>
        </is>
      </c>
      <c r="W38" s="40" t="inlineStr">
        <is>
          <t>Mentorship quality rating</t>
        </is>
      </c>
    </row>
  </sheetData>
  <mergeCells count="12">
    <mergeCell ref="A12:U12"/>
    <mergeCell ref="B4:E4"/>
    <mergeCell ref="R4:U4"/>
    <mergeCell ref="A2:U2"/>
    <mergeCell ref="A25:U25"/>
    <mergeCell ref="F4:I4"/>
    <mergeCell ref="J4:M4"/>
    <mergeCell ref="N4:Q4"/>
    <mergeCell ref="A32:U32"/>
    <mergeCell ref="A1:U1"/>
    <mergeCell ref="A18:U18"/>
    <mergeCell ref="A3:U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2" customWidth="1" min="22" max="22"/>
    <col width="20" customWidth="1" min="23" max="23"/>
  </cols>
  <sheetData>
    <row r="1" ht="25" customHeight="1">
      <c r="A1" s="4" t="inlineStr">
        <is>
          <t>CHII EXECUTIVE DASHBOARD - FURTHER EDUCATION</t>
        </is>
      </c>
    </row>
    <row r="2">
      <c r="A2" s="34" t="inlineStr">
        <is>
          <t>Graduate Pathways &amp; Lifelong Learning | Quarterly Trends (2022-2026)</t>
        </is>
      </c>
    </row>
    <row r="3" ht="18" customHeight="1">
      <c r="A3" s="35" t="inlineStr">
        <is>
          <t>FURTHER EDUCATION OVERVIEW</t>
        </is>
      </c>
    </row>
    <row r="4">
      <c r="A4" s="36" t="inlineStr">
        <is>
          <t>Metric</t>
        </is>
      </c>
      <c r="B4" s="37" t="inlineStr">
        <is>
          <t>2022</t>
        </is>
      </c>
      <c r="C4" s="30" t="n"/>
      <c r="D4" s="30" t="n"/>
      <c r="E4" s="31" t="n"/>
      <c r="F4" s="37" t="inlineStr">
        <is>
          <t>2023</t>
        </is>
      </c>
      <c r="G4" s="30" t="n"/>
      <c r="H4" s="30" t="n"/>
      <c r="I4" s="31" t="n"/>
      <c r="J4" s="37" t="inlineStr">
        <is>
          <t>2024</t>
        </is>
      </c>
      <c r="K4" s="30" t="n"/>
      <c r="L4" s="30" t="n"/>
      <c r="M4" s="31" t="n"/>
      <c r="N4" s="37" t="inlineStr">
        <is>
          <t>2025</t>
        </is>
      </c>
      <c r="O4" s="30" t="n"/>
      <c r="P4" s="30" t="n"/>
      <c r="Q4" s="31" t="n"/>
      <c r="R4" s="37" t="inlineStr">
        <is>
          <t>2026</t>
        </is>
      </c>
      <c r="S4" s="30" t="n"/>
      <c r="T4" s="30" t="n"/>
      <c r="U4" s="31" t="n"/>
      <c r="V4" s="36" t="inlineStr">
        <is>
          <t>2026 YoY %</t>
        </is>
      </c>
      <c r="W4" s="36" t="inlineStr">
        <is>
          <t>Notes</t>
        </is>
      </c>
    </row>
    <row r="5" ht="16" customHeight="1">
      <c r="B5" s="38" t="inlineStr">
        <is>
          <t>Q1</t>
        </is>
      </c>
      <c r="C5" s="38" t="inlineStr">
        <is>
          <t>Q2</t>
        </is>
      </c>
      <c r="D5" s="38" t="inlineStr">
        <is>
          <t>Q3</t>
        </is>
      </c>
      <c r="E5" s="38" t="inlineStr">
        <is>
          <t>Q4</t>
        </is>
      </c>
      <c r="F5" s="38" t="inlineStr">
        <is>
          <t>Q1</t>
        </is>
      </c>
      <c r="G5" s="38" t="inlineStr">
        <is>
          <t>Q2</t>
        </is>
      </c>
      <c r="H5" s="38" t="inlineStr">
        <is>
          <t>Q3</t>
        </is>
      </c>
      <c r="I5" s="38" t="inlineStr">
        <is>
          <t>Q4</t>
        </is>
      </c>
      <c r="J5" s="38" t="inlineStr">
        <is>
          <t>Q1</t>
        </is>
      </c>
      <c r="K5" s="38" t="inlineStr">
        <is>
          <t>Q2</t>
        </is>
      </c>
      <c r="L5" s="38" t="inlineStr">
        <is>
          <t>Q3</t>
        </is>
      </c>
      <c r="M5" s="38" t="inlineStr">
        <is>
          <t>Q4</t>
        </is>
      </c>
      <c r="N5" s="38" t="inlineStr">
        <is>
          <t>Q1</t>
        </is>
      </c>
      <c r="O5" s="38" t="inlineStr">
        <is>
          <t>Q2</t>
        </is>
      </c>
      <c r="P5" s="38" t="inlineStr">
        <is>
          <t>Q3</t>
        </is>
      </c>
      <c r="Q5" s="38" t="inlineStr">
        <is>
          <t>Q4</t>
        </is>
      </c>
      <c r="R5" s="38" t="inlineStr">
        <is>
          <t>Q1</t>
        </is>
      </c>
      <c r="S5" s="38" t="inlineStr">
        <is>
          <t>Q2</t>
        </is>
      </c>
      <c r="T5" s="38" t="inlineStr">
        <is>
          <t>Q3</t>
        </is>
      </c>
      <c r="U5" s="38" t="inlineStr">
        <is>
          <t>Q4</t>
        </is>
      </c>
    </row>
    <row r="6" ht="22" customHeight="1">
      <c r="A6" s="39" t="inlineStr">
        <is>
          <t>Total in Further Study</t>
        </is>
      </c>
      <c r="B6" s="8" t="n">
        <v>12</v>
      </c>
      <c r="C6" s="8" t="n">
        <v>22</v>
      </c>
      <c r="D6" s="8" t="n">
        <v>38</v>
      </c>
      <c r="E6" s="8" t="n">
        <v>58</v>
      </c>
      <c r="F6" s="8" t="n">
        <v>85</v>
      </c>
      <c r="G6" s="8" t="n">
        <v>115</v>
      </c>
      <c r="H6" s="8" t="n">
        <v>145</v>
      </c>
      <c r="I6" s="8" t="n">
        <v>175</v>
      </c>
      <c r="J6" s="8" t="n">
        <v>190</v>
      </c>
      <c r="K6" s="8" t="n">
        <v>195</v>
      </c>
      <c r="L6" s="8" t="n">
        <v>200</v>
      </c>
      <c r="M6" s="8" t="n">
        <v>206</v>
      </c>
      <c r="N6" s="8" t="n">
        <v>206</v>
      </c>
      <c r="O6" s="8" t="n">
        <v>206</v>
      </c>
      <c r="P6" s="8" t="n">
        <v>206</v>
      </c>
      <c r="Q6" s="8" t="n">
        <v>206</v>
      </c>
      <c r="R6" s="8" t="n">
        <v>206</v>
      </c>
      <c r="S6" s="8" t="n">
        <v>206</v>
      </c>
      <c r="T6" s="8" t="n">
        <v>206</v>
      </c>
      <c r="U6" s="8" t="n">
        <v>206</v>
      </c>
      <c r="V6" s="40" t="inlineStr">
        <is>
          <t>0%</t>
        </is>
      </c>
      <c r="W6" s="40" t="inlineStr">
        <is>
          <t>Graduates pursuing further education</t>
        </is>
      </c>
    </row>
    <row r="7" ht="22" customHeight="1">
      <c r="A7" s="39" t="inlineStr">
        <is>
          <t>Currently Enrolled</t>
        </is>
      </c>
      <c r="B7" s="8" t="n">
        <v>8</v>
      </c>
      <c r="C7" s="8" t="n">
        <v>15</v>
      </c>
      <c r="D7" s="8" t="n">
        <v>25</v>
      </c>
      <c r="E7" s="8" t="n">
        <v>38</v>
      </c>
      <c r="F7" s="8" t="n">
        <v>55</v>
      </c>
      <c r="G7" s="8" t="n">
        <v>75</v>
      </c>
      <c r="H7" s="8" t="n">
        <v>90</v>
      </c>
      <c r="I7" s="8" t="n">
        <v>105</v>
      </c>
      <c r="J7" s="8" t="n">
        <v>115</v>
      </c>
      <c r="K7" s="8" t="n">
        <v>118</v>
      </c>
      <c r="L7" s="8" t="n">
        <v>118</v>
      </c>
      <c r="M7" s="8" t="n">
        <v>118</v>
      </c>
      <c r="N7" s="8" t="n">
        <v>118</v>
      </c>
      <c r="O7" s="8" t="n">
        <v>118</v>
      </c>
      <c r="P7" s="8" t="n">
        <v>118</v>
      </c>
      <c r="Q7" s="8" t="n">
        <v>118</v>
      </c>
      <c r="R7" s="8" t="n">
        <v>118</v>
      </c>
      <c r="S7" s="8" t="n">
        <v>118</v>
      </c>
      <c r="T7" s="8" t="n">
        <v>118</v>
      </c>
      <c r="U7" s="8" t="n">
        <v>118</v>
      </c>
      <c r="V7" s="40" t="inlineStr">
        <is>
          <t>+0%</t>
        </is>
      </c>
      <c r="W7" s="40" t="inlineStr">
        <is>
          <t>Active in study programmes</t>
        </is>
      </c>
    </row>
    <row r="8" ht="22" customHeight="1">
      <c r="A8" s="39" t="inlineStr">
        <is>
          <t>Further Study Rate (%)</t>
        </is>
      </c>
      <c r="B8" s="22" t="n">
        <v>2</v>
      </c>
      <c r="C8" s="22" t="n">
        <v>2</v>
      </c>
      <c r="D8" s="22" t="n">
        <v>2</v>
      </c>
      <c r="E8" s="22" t="n">
        <v>2</v>
      </c>
      <c r="F8" s="22" t="n">
        <v>3</v>
      </c>
      <c r="G8" s="22" t="n">
        <v>3</v>
      </c>
      <c r="H8" s="22" t="n">
        <v>4</v>
      </c>
      <c r="I8" s="22" t="n">
        <v>4</v>
      </c>
      <c r="J8" s="22" t="n">
        <v>4</v>
      </c>
      <c r="K8" s="22" t="n">
        <v>5</v>
      </c>
      <c r="L8" s="22" t="n">
        <v>5</v>
      </c>
      <c r="M8" s="22" t="n">
        <v>5</v>
      </c>
      <c r="N8" s="22" t="n">
        <v>5</v>
      </c>
      <c r="O8" s="22" t="n">
        <v>5</v>
      </c>
      <c r="P8" s="22" t="n">
        <v>5</v>
      </c>
      <c r="Q8" s="22" t="n">
        <v>5</v>
      </c>
      <c r="R8" s="22" t="n">
        <v>5</v>
      </c>
      <c r="S8" s="22" t="n">
        <v>5</v>
      </c>
      <c r="T8" s="22" t="n">
        <v>5</v>
      </c>
      <c r="U8" s="22" t="n">
        <v>5</v>
      </c>
      <c r="V8" s="40" t="inlineStr">
        <is>
          <t>+50%</t>
        </is>
      </c>
      <c r="W8" s="40" t="inlineStr">
        <is>
          <t>% of graduates pursuing further study</t>
        </is>
      </c>
    </row>
    <row r="9" ht="22" customHeight="1">
      <c r="A9" s="39" t="inlineStr">
        <is>
          <t>Female Share (%)</t>
        </is>
      </c>
      <c r="B9" s="22" t="n">
        <v>45</v>
      </c>
      <c r="C9" s="22" t="n">
        <v>48</v>
      </c>
      <c r="D9" s="22" t="n">
        <v>52</v>
      </c>
      <c r="E9" s="22" t="n">
        <v>54</v>
      </c>
      <c r="F9" s="22" t="n">
        <v>55</v>
      </c>
      <c r="G9" s="22" t="n">
        <v>56</v>
      </c>
      <c r="H9" s="22" t="n">
        <v>57</v>
      </c>
      <c r="I9" s="22" t="n">
        <v>58</v>
      </c>
      <c r="J9" s="22" t="n">
        <v>58</v>
      </c>
      <c r="K9" s="22" t="n">
        <v>58</v>
      </c>
      <c r="L9" s="22" t="n">
        <v>58</v>
      </c>
      <c r="M9" s="22" t="n">
        <v>58</v>
      </c>
      <c r="N9" s="22" t="n">
        <v>58</v>
      </c>
      <c r="O9" s="22" t="n">
        <v>58</v>
      </c>
      <c r="P9" s="22" t="n">
        <v>58</v>
      </c>
      <c r="Q9" s="22" t="n">
        <v>58</v>
      </c>
      <c r="R9" s="22" t="n">
        <v>58</v>
      </c>
      <c r="S9" s="22" t="n">
        <v>58</v>
      </c>
      <c r="T9" s="22" t="n">
        <v>58</v>
      </c>
      <c r="U9" s="22" t="n">
        <v>58</v>
      </c>
      <c r="V9" s="40" t="inlineStr">
        <is>
          <t>+6.5%</t>
        </is>
      </c>
      <c r="W9" s="40" t="inlineStr">
        <is>
          <t>Female participation rate</t>
        </is>
      </c>
    </row>
    <row r="10" ht="22" customHeight="1">
      <c r="A10" s="39" t="inlineStr">
        <is>
          <t>Scholarship/Funded (%)</t>
        </is>
      </c>
      <c r="B10" s="22" t="n">
        <v>35</v>
      </c>
      <c r="C10" s="22" t="n">
        <v>42</v>
      </c>
      <c r="D10" s="22" t="n">
        <v>48</v>
      </c>
      <c r="E10" s="22" t="n">
        <v>52</v>
      </c>
      <c r="F10" s="22" t="n">
        <v>55</v>
      </c>
      <c r="G10" s="22" t="n">
        <v>56</v>
      </c>
      <c r="H10" s="22" t="n">
        <v>57</v>
      </c>
      <c r="I10" s="22" t="n">
        <v>58</v>
      </c>
      <c r="J10" s="22" t="n">
        <v>58</v>
      </c>
      <c r="K10" s="22" t="n">
        <v>59</v>
      </c>
      <c r="L10" s="22" t="n">
        <v>59</v>
      </c>
      <c r="M10" s="22" t="n">
        <v>59</v>
      </c>
      <c r="N10" s="22" t="n">
        <v>59</v>
      </c>
      <c r="O10" s="22" t="n">
        <v>59</v>
      </c>
      <c r="P10" s="22" t="n">
        <v>59</v>
      </c>
      <c r="Q10" s="22" t="n">
        <v>59</v>
      </c>
      <c r="R10" s="22" t="n">
        <v>59</v>
      </c>
      <c r="S10" s="22" t="n">
        <v>59</v>
      </c>
      <c r="T10" s="22" t="n">
        <v>59</v>
      </c>
      <c r="U10" s="22" t="n">
        <v>59</v>
      </c>
      <c r="V10" s="40" t="inlineStr">
        <is>
          <t>+1.7%</t>
        </is>
      </c>
      <c r="W10" s="40" t="inlineStr">
        <is>
          <t>On funded/scholarship pathway</t>
        </is>
      </c>
    </row>
    <row r="11" ht="22" customHeight="1">
      <c r="A11" s="39" t="inlineStr">
        <is>
          <t>Countries of Study</t>
        </is>
      </c>
      <c r="B11" s="8" t="n">
        <v>3</v>
      </c>
      <c r="C11" s="8" t="n">
        <v>4</v>
      </c>
      <c r="D11" s="8" t="n">
        <v>5</v>
      </c>
      <c r="E11" s="8" t="n">
        <v>6</v>
      </c>
      <c r="F11" s="8" t="n">
        <v>7</v>
      </c>
      <c r="G11" s="8" t="n">
        <v>8</v>
      </c>
      <c r="H11" s="8" t="n">
        <v>9</v>
      </c>
      <c r="I11" s="8" t="n">
        <v>10</v>
      </c>
      <c r="J11" s="8" t="n">
        <v>11</v>
      </c>
      <c r="K11" s="8" t="n">
        <v>11</v>
      </c>
      <c r="L11" s="8" t="n">
        <v>12</v>
      </c>
      <c r="M11" s="8" t="n">
        <v>12</v>
      </c>
      <c r="N11" s="8" t="n">
        <v>12</v>
      </c>
      <c r="O11" s="8" t="n">
        <v>12</v>
      </c>
      <c r="P11" s="8" t="n">
        <v>12</v>
      </c>
      <c r="Q11" s="8" t="n">
        <v>12</v>
      </c>
      <c r="R11" s="8" t="n">
        <v>12</v>
      </c>
      <c r="S11" s="8" t="n">
        <v>12</v>
      </c>
      <c r="T11" s="8" t="n">
        <v>12</v>
      </c>
      <c r="U11" s="8" t="n">
        <v>12</v>
      </c>
      <c r="V11" s="40" t="inlineStr">
        <is>
          <t>+100%</t>
        </is>
      </c>
      <c r="W11" s="40" t="inlineStr">
        <is>
          <t>Distinct countries for further study</t>
        </is>
      </c>
    </row>
    <row r="12" ht="18" customHeight="1">
      <c r="A12" s="35" t="inlineStr">
        <is>
          <t>PARTICIPANT PROFILE &amp; DEMOGRAPHICS</t>
        </is>
      </c>
    </row>
    <row r="13" ht="22" customHeight="1">
      <c r="A13" s="39" t="inlineStr">
        <is>
          <t>Female Graduates in Further Study</t>
        </is>
      </c>
      <c r="B13" s="8" t="n">
        <v>5</v>
      </c>
      <c r="C13" s="8" t="n">
        <v>10</v>
      </c>
      <c r="D13" s="8" t="n">
        <v>17</v>
      </c>
      <c r="E13" s="8" t="n">
        <v>31</v>
      </c>
      <c r="F13" s="8" t="n">
        <v>47</v>
      </c>
      <c r="G13" s="8" t="n">
        <v>64</v>
      </c>
      <c r="H13" s="8" t="n">
        <v>82</v>
      </c>
      <c r="I13" s="8" t="n">
        <v>101</v>
      </c>
      <c r="J13" s="8" t="n">
        <v>110</v>
      </c>
      <c r="K13" s="8" t="n">
        <v>114</v>
      </c>
      <c r="L13" s="8" t="n">
        <v>118</v>
      </c>
      <c r="M13" s="8" t="n">
        <v>122</v>
      </c>
      <c r="N13" s="8" t="n">
        <v>122</v>
      </c>
      <c r="O13" s="8" t="n">
        <v>122</v>
      </c>
      <c r="P13" s="8" t="n">
        <v>122</v>
      </c>
      <c r="Q13" s="8" t="n">
        <v>122</v>
      </c>
      <c r="R13" s="8" t="n">
        <v>122</v>
      </c>
      <c r="S13" s="8" t="n">
        <v>122</v>
      </c>
      <c r="T13" s="8" t="n">
        <v>122</v>
      </c>
      <c r="U13" s="8" t="n">
        <v>122</v>
      </c>
      <c r="V13" s="40" t="inlineStr">
        <is>
          <t>+0%</t>
        </is>
      </c>
      <c r="W13" s="40" t="inlineStr">
        <is>
          <t>Female participants</t>
        </is>
      </c>
    </row>
    <row r="14" ht="22" customHeight="1">
      <c r="A14" s="39" t="inlineStr">
        <is>
          <t>Male Graduates in Further Study</t>
        </is>
      </c>
      <c r="B14" s="8" t="n">
        <v>7</v>
      </c>
      <c r="C14" s="8" t="n">
        <v>12</v>
      </c>
      <c r="D14" s="8" t="n">
        <v>21</v>
      </c>
      <c r="E14" s="8" t="n">
        <v>27</v>
      </c>
      <c r="F14" s="8" t="n">
        <v>38</v>
      </c>
      <c r="G14" s="8" t="n">
        <v>51</v>
      </c>
      <c r="H14" s="8" t="n">
        <v>63</v>
      </c>
      <c r="I14" s="8" t="n">
        <v>74</v>
      </c>
      <c r="J14" s="8" t="n">
        <v>80</v>
      </c>
      <c r="K14" s="8" t="n">
        <v>81</v>
      </c>
      <c r="L14" s="8" t="n">
        <v>82</v>
      </c>
      <c r="M14" s="8" t="n">
        <v>84</v>
      </c>
      <c r="N14" s="8" t="n">
        <v>84</v>
      </c>
      <c r="O14" s="8" t="n">
        <v>84</v>
      </c>
      <c r="P14" s="8" t="n">
        <v>84</v>
      </c>
      <c r="Q14" s="8" t="n">
        <v>84</v>
      </c>
      <c r="R14" s="8" t="n">
        <v>84</v>
      </c>
      <c r="S14" s="8" t="n">
        <v>84</v>
      </c>
      <c r="T14" s="8" t="n">
        <v>84</v>
      </c>
      <c r="U14" s="8" t="n">
        <v>84</v>
      </c>
      <c r="V14" s="40" t="inlineStr">
        <is>
          <t>+0%</t>
        </is>
      </c>
      <c r="W14" s="40" t="inlineStr">
        <is>
          <t>Male participants</t>
        </is>
      </c>
    </row>
    <row r="15" ht="22" customHeight="1">
      <c r="A15" s="39" t="inlineStr">
        <is>
          <t>From Rwanda</t>
        </is>
      </c>
      <c r="B15" s="8" t="n">
        <v>2</v>
      </c>
      <c r="C15" s="8" t="n">
        <v>5</v>
      </c>
      <c r="D15" s="8" t="n">
        <v>8</v>
      </c>
      <c r="E15" s="8" t="n">
        <v>12</v>
      </c>
      <c r="F15" s="8" t="n">
        <v>18</v>
      </c>
      <c r="G15" s="8" t="n">
        <v>25</v>
      </c>
      <c r="H15" s="8" t="n">
        <v>32</v>
      </c>
      <c r="I15" s="8" t="n">
        <v>38</v>
      </c>
      <c r="J15" s="8" t="n">
        <v>42</v>
      </c>
      <c r="K15" s="8" t="n">
        <v>43</v>
      </c>
      <c r="L15" s="8" t="n">
        <v>44</v>
      </c>
      <c r="M15" s="8" t="n">
        <v>45</v>
      </c>
      <c r="N15" s="8" t="n">
        <v>45</v>
      </c>
      <c r="O15" s="8" t="n">
        <v>45</v>
      </c>
      <c r="P15" s="8" t="n">
        <v>45</v>
      </c>
      <c r="Q15" s="8" t="n">
        <v>45</v>
      </c>
      <c r="R15" s="8" t="n">
        <v>45</v>
      </c>
      <c r="S15" s="8" t="n">
        <v>45</v>
      </c>
      <c r="T15" s="8" t="n">
        <v>45</v>
      </c>
      <c r="U15" s="8" t="n">
        <v>45</v>
      </c>
      <c r="V15" s="40" t="inlineStr">
        <is>
          <t>0%</t>
        </is>
      </c>
      <c r="W15" s="40" t="inlineStr">
        <is>
          <t>Rwandan graduates</t>
        </is>
      </c>
    </row>
    <row r="16" ht="22" customHeight="1">
      <c r="A16" s="39" t="inlineStr">
        <is>
          <t>From Kenya</t>
        </is>
      </c>
      <c r="B16" s="8" t="n">
        <v>2</v>
      </c>
      <c r="C16" s="8" t="n">
        <v>4</v>
      </c>
      <c r="D16" s="8" t="n">
        <v>6</v>
      </c>
      <c r="E16" s="8" t="n">
        <v>10</v>
      </c>
      <c r="F16" s="8" t="n">
        <v>15</v>
      </c>
      <c r="G16" s="8" t="n">
        <v>22</v>
      </c>
      <c r="H16" s="8" t="n">
        <v>28</v>
      </c>
      <c r="I16" s="8" t="n">
        <v>32</v>
      </c>
      <c r="J16" s="8" t="n">
        <v>34</v>
      </c>
      <c r="K16" s="8" t="n">
        <v>35</v>
      </c>
      <c r="L16" s="8" t="n">
        <v>35</v>
      </c>
      <c r="M16" s="8" t="n">
        <v>36</v>
      </c>
      <c r="N16" s="8" t="n">
        <v>36</v>
      </c>
      <c r="O16" s="8" t="n">
        <v>36</v>
      </c>
      <c r="P16" s="8" t="n">
        <v>36</v>
      </c>
      <c r="Q16" s="8" t="n">
        <v>36</v>
      </c>
      <c r="R16" s="8" t="n">
        <v>36</v>
      </c>
      <c r="S16" s="8" t="n">
        <v>36</v>
      </c>
      <c r="T16" s="8" t="n">
        <v>36</v>
      </c>
      <c r="U16" s="8" t="n">
        <v>36</v>
      </c>
      <c r="V16" s="40" t="inlineStr">
        <is>
          <t>+12.5%</t>
        </is>
      </c>
      <c r="W16" s="40" t="inlineStr">
        <is>
          <t>Kenyan graduates</t>
        </is>
      </c>
    </row>
    <row r="17" ht="22" customHeight="1">
      <c r="A17" s="39" t="inlineStr">
        <is>
          <t>From Nigeria</t>
        </is>
      </c>
      <c r="B17" s="8" t="n">
        <v>1</v>
      </c>
      <c r="C17" s="8" t="n">
        <v>2</v>
      </c>
      <c r="D17" s="8" t="n">
        <v>4</v>
      </c>
      <c r="E17" s="8" t="n">
        <v>8</v>
      </c>
      <c r="F17" s="8" t="n">
        <v>12</v>
      </c>
      <c r="G17" s="8" t="n">
        <v>18</v>
      </c>
      <c r="H17" s="8" t="n">
        <v>24</v>
      </c>
      <c r="I17" s="8" t="n">
        <v>28</v>
      </c>
      <c r="J17" s="8" t="n">
        <v>31</v>
      </c>
      <c r="K17" s="8" t="n">
        <v>32</v>
      </c>
      <c r="L17" s="8" t="n">
        <v>32</v>
      </c>
      <c r="M17" s="8" t="n">
        <v>33</v>
      </c>
      <c r="N17" s="8" t="n">
        <v>33</v>
      </c>
      <c r="O17" s="8" t="n">
        <v>33</v>
      </c>
      <c r="P17" s="8" t="n">
        <v>33</v>
      </c>
      <c r="Q17" s="8" t="n">
        <v>33</v>
      </c>
      <c r="R17" s="8" t="n">
        <v>33</v>
      </c>
      <c r="S17" s="8" t="n">
        <v>33</v>
      </c>
      <c r="T17" s="8" t="n">
        <v>33</v>
      </c>
      <c r="U17" s="8" t="n">
        <v>33</v>
      </c>
      <c r="V17" s="40" t="inlineStr">
        <is>
          <t>+13.8%</t>
        </is>
      </c>
      <c r="W17" s="40" t="inlineStr">
        <is>
          <t>Nigerian graduates</t>
        </is>
      </c>
    </row>
    <row r="18" ht="18" customHeight="1">
      <c r="A18" s="35" t="inlineStr">
        <is>
          <t>QUALIFICATIONS &amp; FIELDS OF STUDY</t>
        </is>
      </c>
    </row>
    <row r="19" ht="22" customHeight="1">
      <c r="A19" s="39" t="inlineStr">
        <is>
          <t>Postgraduate Diploma</t>
        </is>
      </c>
      <c r="B19" s="8" t="n">
        <v>1</v>
      </c>
      <c r="C19" s="8" t="n">
        <v>2</v>
      </c>
      <c r="D19" s="8" t="n">
        <v>4</v>
      </c>
      <c r="E19" s="8" t="n">
        <v>6</v>
      </c>
      <c r="F19" s="8" t="n">
        <v>9</v>
      </c>
      <c r="G19" s="8" t="n">
        <v>12</v>
      </c>
      <c r="H19" s="8" t="n">
        <v>15</v>
      </c>
      <c r="I19" s="8" t="n">
        <v>18</v>
      </c>
      <c r="J19" s="8" t="n">
        <v>20</v>
      </c>
      <c r="K19" s="8" t="n">
        <v>20</v>
      </c>
      <c r="L19" s="8" t="n">
        <v>20</v>
      </c>
      <c r="M19" s="8" t="n">
        <v>20</v>
      </c>
      <c r="N19" s="8" t="n">
        <v>20</v>
      </c>
      <c r="O19" s="8" t="n">
        <v>20</v>
      </c>
      <c r="P19" s="8" t="n">
        <v>20</v>
      </c>
      <c r="Q19" s="8" t="n">
        <v>20</v>
      </c>
      <c r="R19" s="8" t="n">
        <v>20</v>
      </c>
      <c r="S19" s="8" t="n">
        <v>20</v>
      </c>
      <c r="T19" s="8" t="n">
        <v>20</v>
      </c>
      <c r="U19" s="8" t="n">
        <v>20</v>
      </c>
      <c r="V19" s="40" t="inlineStr">
        <is>
          <t>0%</t>
        </is>
      </c>
      <c r="W19" s="40" t="inlineStr">
        <is>
          <t>Postgraduate Diploma trend</t>
        </is>
      </c>
    </row>
    <row r="20" ht="22" customHeight="1">
      <c r="A20" s="39" t="inlineStr">
        <is>
          <t>Master's Degree</t>
        </is>
      </c>
      <c r="B20" s="8" t="n">
        <v>5</v>
      </c>
      <c r="C20" s="8" t="n">
        <v>10</v>
      </c>
      <c r="D20" s="8" t="n">
        <v>18</v>
      </c>
      <c r="E20" s="8" t="n">
        <v>28</v>
      </c>
      <c r="F20" s="8" t="n">
        <v>42</v>
      </c>
      <c r="G20" s="8" t="n">
        <v>58</v>
      </c>
      <c r="H20" s="8" t="n">
        <v>72</v>
      </c>
      <c r="I20" s="8" t="n">
        <v>88</v>
      </c>
      <c r="J20" s="8" t="n">
        <v>102</v>
      </c>
      <c r="K20" s="8" t="n">
        <v>108</v>
      </c>
      <c r="L20" s="8" t="n">
        <v>112</v>
      </c>
      <c r="M20" s="8" t="n">
        <v>118</v>
      </c>
      <c r="N20" s="8" t="n">
        <v>122</v>
      </c>
      <c r="O20" s="8" t="n">
        <v>128</v>
      </c>
      <c r="P20" s="8" t="n">
        <v>132</v>
      </c>
      <c r="Q20" s="8" t="n">
        <v>136</v>
      </c>
      <c r="R20" s="8" t="n">
        <v>136</v>
      </c>
      <c r="S20" s="8" t="n">
        <v>136</v>
      </c>
      <c r="T20" s="8" t="n">
        <v>136</v>
      </c>
      <c r="U20" s="8" t="n">
        <v>136</v>
      </c>
      <c r="V20" s="40" t="inlineStr">
        <is>
          <t>0%</t>
        </is>
      </c>
      <c r="W20" s="40" t="inlineStr">
        <is>
          <t>Master's Degree trend</t>
        </is>
      </c>
    </row>
    <row r="21" ht="22" customHeight="1">
      <c r="A21" s="39" t="inlineStr">
        <is>
          <t>Doctorate</t>
        </is>
      </c>
      <c r="B21" s="8" t="n">
        <v>1</v>
      </c>
      <c r="C21" s="8" t="n">
        <v>2</v>
      </c>
      <c r="D21" s="8" t="n">
        <v>4</v>
      </c>
      <c r="E21" s="8" t="n">
        <v>8</v>
      </c>
      <c r="F21" s="8" t="n">
        <v>12</v>
      </c>
      <c r="G21" s="8" t="n">
        <v>16</v>
      </c>
      <c r="H21" s="8" t="n">
        <v>20</v>
      </c>
      <c r="I21" s="8" t="n">
        <v>24</v>
      </c>
      <c r="J21" s="8" t="n">
        <v>28</v>
      </c>
      <c r="K21" s="8" t="n">
        <v>30</v>
      </c>
      <c r="L21" s="8" t="n">
        <v>32</v>
      </c>
      <c r="M21" s="8" t="n">
        <v>34</v>
      </c>
      <c r="N21" s="8" t="n">
        <v>36</v>
      </c>
      <c r="O21" s="8" t="n">
        <v>38</v>
      </c>
      <c r="P21" s="8" t="n">
        <v>40</v>
      </c>
      <c r="Q21" s="8" t="n">
        <v>42</v>
      </c>
      <c r="R21" s="8" t="n">
        <v>42</v>
      </c>
      <c r="S21" s="8" t="n">
        <v>42</v>
      </c>
      <c r="T21" s="8" t="n">
        <v>42</v>
      </c>
      <c r="U21" s="8" t="n">
        <v>42</v>
      </c>
      <c r="V21" s="40" t="inlineStr">
        <is>
          <t>0%</t>
        </is>
      </c>
      <c r="W21" s="40" t="inlineStr">
        <is>
          <t>Doctorate trend</t>
        </is>
      </c>
    </row>
    <row r="22" ht="22" customHeight="1">
      <c r="A22" s="39" t="inlineStr">
        <is>
          <t>Professional Cert</t>
        </is>
      </c>
      <c r="B22" s="8" t="n">
        <v>5</v>
      </c>
      <c r="C22" s="8" t="n">
        <v>8</v>
      </c>
      <c r="D22" s="8" t="n">
        <v>12</v>
      </c>
      <c r="E22" s="8" t="n">
        <v>16</v>
      </c>
      <c r="F22" s="8" t="n">
        <v>22</v>
      </c>
      <c r="G22" s="8" t="n">
        <v>29</v>
      </c>
      <c r="H22" s="8" t="n">
        <v>38</v>
      </c>
      <c r="I22" s="8" t="n">
        <v>45</v>
      </c>
      <c r="J22" s="8" t="n">
        <v>40</v>
      </c>
      <c r="K22" s="8" t="n">
        <v>37</v>
      </c>
      <c r="L22" s="8" t="n">
        <v>36</v>
      </c>
      <c r="M22" s="8" t="n">
        <v>34</v>
      </c>
      <c r="N22" s="8" t="n">
        <v>28</v>
      </c>
      <c r="O22" s="8" t="n">
        <v>20</v>
      </c>
      <c r="P22" s="8" t="n">
        <v>14</v>
      </c>
      <c r="Q22" s="8" t="n">
        <v>8</v>
      </c>
      <c r="R22" s="8" t="n">
        <v>8</v>
      </c>
      <c r="S22" s="8" t="n">
        <v>8</v>
      </c>
      <c r="T22" s="8" t="n">
        <v>8</v>
      </c>
      <c r="U22" s="8" t="n">
        <v>8</v>
      </c>
      <c r="V22" s="40" t="inlineStr">
        <is>
          <t>-82%</t>
        </is>
      </c>
      <c r="W22" s="40" t="inlineStr">
        <is>
          <t>Professional Cert trend</t>
        </is>
      </c>
    </row>
    <row r="23" ht="22" customHeight="1">
      <c r="A23" s="39" t="inlineStr">
        <is>
          <t>Business &amp; Management</t>
        </is>
      </c>
      <c r="B23" s="8" t="n">
        <v>6</v>
      </c>
      <c r="C23" s="8" t="n">
        <v>12</v>
      </c>
      <c r="D23" s="8" t="n">
        <v>20</v>
      </c>
      <c r="E23" s="8" t="n">
        <v>30</v>
      </c>
      <c r="F23" s="8" t="n">
        <v>42</v>
      </c>
      <c r="G23" s="8" t="n">
        <v>52</v>
      </c>
      <c r="H23" s="8" t="n">
        <v>58</v>
      </c>
      <c r="I23" s="8" t="n">
        <v>62</v>
      </c>
      <c r="J23" s="8" t="n">
        <v>62</v>
      </c>
      <c r="K23" s="8" t="n">
        <v>61</v>
      </c>
      <c r="L23" s="8" t="n">
        <v>61</v>
      </c>
      <c r="M23" s="8" t="n">
        <v>60</v>
      </c>
      <c r="N23" s="8" t="n">
        <v>60</v>
      </c>
      <c r="O23" s="8" t="n">
        <v>60</v>
      </c>
      <c r="P23" s="8" t="n">
        <v>60</v>
      </c>
      <c r="Q23" s="8" t="n">
        <v>60</v>
      </c>
      <c r="R23" s="8" t="n">
        <v>60</v>
      </c>
      <c r="S23" s="8" t="n">
        <v>60</v>
      </c>
      <c r="T23" s="8" t="n">
        <v>60</v>
      </c>
      <c r="U23" s="8" t="n">
        <v>60</v>
      </c>
      <c r="V23" s="40" t="inlineStr">
        <is>
          <t>0%</t>
        </is>
      </c>
      <c r="W23" s="40" t="inlineStr">
        <is>
          <t>Business &amp; Management trend</t>
        </is>
      </c>
    </row>
    <row r="24" ht="22" customHeight="1">
      <c r="A24" s="39" t="inlineStr">
        <is>
          <t>Engineering &amp; Tech</t>
        </is>
      </c>
      <c r="B24" s="8" t="n">
        <v>4</v>
      </c>
      <c r="C24" s="8" t="n">
        <v>8</v>
      </c>
      <c r="D24" s="8" t="n">
        <v>14</v>
      </c>
      <c r="E24" s="8" t="n">
        <v>22</v>
      </c>
      <c r="F24" s="8" t="n">
        <v>32</v>
      </c>
      <c r="G24" s="8" t="n">
        <v>40</v>
      </c>
      <c r="H24" s="8" t="n">
        <v>45</v>
      </c>
      <c r="I24" s="8" t="n">
        <v>48</v>
      </c>
      <c r="J24" s="8" t="n">
        <v>48</v>
      </c>
      <c r="K24" s="8" t="n">
        <v>48</v>
      </c>
      <c r="L24" s="8" t="n">
        <v>48</v>
      </c>
      <c r="M24" s="8" t="n">
        <v>48</v>
      </c>
      <c r="N24" s="8" t="n">
        <v>48</v>
      </c>
      <c r="O24" s="8" t="n">
        <v>48</v>
      </c>
      <c r="P24" s="8" t="n">
        <v>48</v>
      </c>
      <c r="Q24" s="8" t="n">
        <v>48</v>
      </c>
      <c r="R24" s="8" t="n">
        <v>48</v>
      </c>
      <c r="S24" s="8" t="n">
        <v>48</v>
      </c>
      <c r="T24" s="8" t="n">
        <v>48</v>
      </c>
      <c r="U24" s="8" t="n">
        <v>48</v>
      </c>
      <c r="V24" s="40" t="inlineStr">
        <is>
          <t>0%</t>
        </is>
      </c>
      <c r="W24" s="40" t="inlineStr">
        <is>
          <t>Engineering &amp; Tech trend</t>
        </is>
      </c>
    </row>
    <row r="25" ht="22" customHeight="1">
      <c r="A25" s="39" t="inlineStr">
        <is>
          <t>Public Health/Policy</t>
        </is>
      </c>
      <c r="B25" s="8" t="n">
        <v>1</v>
      </c>
      <c r="C25" s="8" t="n">
        <v>2</v>
      </c>
      <c r="D25" s="8" t="n">
        <v>4</v>
      </c>
      <c r="E25" s="8" t="n">
        <v>8</v>
      </c>
      <c r="F25" s="8" t="n">
        <v>14</v>
      </c>
      <c r="G25" s="8" t="n">
        <v>24</v>
      </c>
      <c r="H25" s="8" t="n">
        <v>32</v>
      </c>
      <c r="I25" s="8" t="n">
        <v>40</v>
      </c>
      <c r="J25" s="8" t="n">
        <v>44</v>
      </c>
      <c r="K25" s="8" t="n">
        <v>44</v>
      </c>
      <c r="L25" s="8" t="n">
        <v>44</v>
      </c>
      <c r="M25" s="8" t="n">
        <v>44</v>
      </c>
      <c r="N25" s="8" t="n">
        <v>44</v>
      </c>
      <c r="O25" s="8" t="n">
        <v>44</v>
      </c>
      <c r="P25" s="8" t="n">
        <v>44</v>
      </c>
      <c r="Q25" s="8" t="n">
        <v>44</v>
      </c>
      <c r="R25" s="8" t="n">
        <v>44</v>
      </c>
      <c r="S25" s="8" t="n">
        <v>44</v>
      </c>
      <c r="T25" s="8" t="n">
        <v>44</v>
      </c>
      <c r="U25" s="8" t="n">
        <v>44</v>
      </c>
      <c r="V25" s="40" t="inlineStr">
        <is>
          <t>0%</t>
        </is>
      </c>
      <c r="W25" s="40" t="inlineStr">
        <is>
          <t>Public Health/Policy trend</t>
        </is>
      </c>
    </row>
    <row r="26" ht="18" customHeight="1">
      <c r="A26" s="35" t="inlineStr">
        <is>
          <t>STUDY PATHWAYS &amp; DESTINATIONS</t>
        </is>
      </c>
    </row>
    <row r="27" ht="22" customHeight="1">
      <c r="A27" s="39" t="inlineStr">
        <is>
          <t>Directly Related to ALU Degree</t>
        </is>
      </c>
      <c r="B27" s="8" t="n">
        <v>8</v>
      </c>
      <c r="C27" s="8" t="n">
        <v>14</v>
      </c>
      <c r="D27" s="8" t="n">
        <v>25</v>
      </c>
      <c r="E27" s="8" t="n">
        <v>38</v>
      </c>
      <c r="F27" s="8" t="n">
        <v>55</v>
      </c>
      <c r="G27" s="8" t="n">
        <v>75</v>
      </c>
      <c r="H27" s="8" t="n">
        <v>95</v>
      </c>
      <c r="I27" s="8" t="n">
        <v>115</v>
      </c>
      <c r="J27" s="8" t="n">
        <v>130</v>
      </c>
      <c r="K27" s="8" t="n">
        <v>140</v>
      </c>
      <c r="L27" s="8" t="n">
        <v>150</v>
      </c>
      <c r="M27" s="8" t="n">
        <v>160</v>
      </c>
      <c r="N27" s="8" t="n">
        <v>170</v>
      </c>
      <c r="O27" s="8" t="n">
        <v>176</v>
      </c>
      <c r="P27" s="8" t="n">
        <v>182</v>
      </c>
      <c r="Q27" s="8" t="n">
        <v>188</v>
      </c>
      <c r="R27" s="8" t="n">
        <v>188</v>
      </c>
      <c r="S27" s="8" t="n">
        <v>188</v>
      </c>
      <c r="T27" s="8" t="n">
        <v>188</v>
      </c>
      <c r="U27" s="8" t="n">
        <v>188</v>
      </c>
      <c r="V27" s="40" t="inlineStr">
        <is>
          <t>-8.7%</t>
        </is>
      </c>
      <c r="W27" s="40" t="inlineStr">
        <is>
          <t>Continuing original field</t>
        </is>
      </c>
    </row>
    <row r="28" ht="22" customHeight="1">
      <c r="A28" s="39" t="inlineStr">
        <is>
          <t>Somewhat Related to ALU Degree</t>
        </is>
      </c>
      <c r="B28" s="8" t="n">
        <v>3</v>
      </c>
      <c r="C28" s="8" t="n">
        <v>6</v>
      </c>
      <c r="D28" s="8" t="n">
        <v>10</v>
      </c>
      <c r="E28" s="8" t="n">
        <v>15</v>
      </c>
      <c r="F28" s="8" t="n">
        <v>22</v>
      </c>
      <c r="G28" s="8" t="n">
        <v>28</v>
      </c>
      <c r="H28" s="8" t="n">
        <v>35</v>
      </c>
      <c r="I28" s="8" t="n">
        <v>42</v>
      </c>
      <c r="J28" s="8" t="n">
        <v>45</v>
      </c>
      <c r="K28" s="8" t="n">
        <v>47</v>
      </c>
      <c r="L28" s="8" t="n">
        <v>48</v>
      </c>
      <c r="M28" s="8" t="n">
        <v>50</v>
      </c>
      <c r="N28" s="8" t="n">
        <v>50</v>
      </c>
      <c r="O28" s="8" t="n">
        <v>50</v>
      </c>
      <c r="P28" s="8" t="n">
        <v>50</v>
      </c>
      <c r="Q28" s="8" t="n">
        <v>50</v>
      </c>
      <c r="R28" s="8" t="n">
        <v>50</v>
      </c>
      <c r="S28" s="8" t="n">
        <v>50</v>
      </c>
      <c r="T28" s="8" t="n">
        <v>50</v>
      </c>
      <c r="U28" s="8" t="n">
        <v>50</v>
      </c>
      <c r="V28" s="40" t="inlineStr">
        <is>
          <t>+19%</t>
        </is>
      </c>
      <c r="W28" s="40" t="inlineStr">
        <is>
          <t>Adjacent field of study</t>
        </is>
      </c>
    </row>
    <row r="29" ht="22" customHeight="1">
      <c r="A29" s="39" t="inlineStr">
        <is>
          <t>Different Field (Pivot)</t>
        </is>
      </c>
      <c r="B29" s="8" t="n">
        <v>1</v>
      </c>
      <c r="C29" s="8" t="n">
        <v>2</v>
      </c>
      <c r="D29" s="8" t="n">
        <v>3</v>
      </c>
      <c r="E29" s="8" t="n">
        <v>5</v>
      </c>
      <c r="F29" s="8" t="n">
        <v>8</v>
      </c>
      <c r="G29" s="8" t="n">
        <v>12</v>
      </c>
      <c r="H29" s="8" t="n">
        <v>15</v>
      </c>
      <c r="I29" s="8" t="n">
        <v>18</v>
      </c>
      <c r="J29" s="8" t="n">
        <v>24</v>
      </c>
      <c r="K29" s="8" t="n">
        <v>24</v>
      </c>
      <c r="L29" s="8" t="n">
        <v>24</v>
      </c>
      <c r="M29" s="8" t="n">
        <v>25</v>
      </c>
      <c r="N29" s="8" t="n">
        <v>20</v>
      </c>
      <c r="O29" s="8" t="n">
        <v>21</v>
      </c>
      <c r="P29" s="8" t="n">
        <v>22</v>
      </c>
      <c r="Q29" s="8" t="n">
        <v>23</v>
      </c>
      <c r="R29" s="8" t="n">
        <v>25</v>
      </c>
      <c r="S29" s="8" t="n">
        <v>25</v>
      </c>
      <c r="T29" s="8" t="n">
        <v>25</v>
      </c>
      <c r="U29" s="8" t="n">
        <v>25</v>
      </c>
      <c r="V29" s="40" t="inlineStr">
        <is>
          <t>+108%</t>
        </is>
      </c>
      <c r="W29" s="40" t="inlineStr">
        <is>
          <t>Career pivot to new field</t>
        </is>
      </c>
    </row>
    <row r="30" ht="22" customHeight="1">
      <c r="A30" s="39" t="inlineStr">
        <is>
          <t>Studying in Africa</t>
        </is>
      </c>
      <c r="B30" s="8" t="n">
        <v>10</v>
      </c>
      <c r="C30" s="8" t="n">
        <v>18</v>
      </c>
      <c r="D30" s="8" t="n">
        <v>32</v>
      </c>
      <c r="E30" s="8" t="n">
        <v>48</v>
      </c>
      <c r="F30" s="8" t="n">
        <v>68</v>
      </c>
      <c r="G30" s="8" t="n">
        <v>88</v>
      </c>
      <c r="H30" s="8" t="n">
        <v>105</v>
      </c>
      <c r="I30" s="8" t="n">
        <v>125</v>
      </c>
      <c r="J30" s="8" t="n">
        <v>140</v>
      </c>
      <c r="K30" s="8" t="n">
        <v>150</v>
      </c>
      <c r="L30" s="8" t="n">
        <v>160</v>
      </c>
      <c r="M30" s="8" t="n">
        <v>170</v>
      </c>
      <c r="N30" s="8" t="n">
        <v>180</v>
      </c>
      <c r="O30" s="8" t="n">
        <v>188</v>
      </c>
      <c r="P30" s="8" t="n">
        <v>195</v>
      </c>
      <c r="Q30" s="8" t="n">
        <v>200</v>
      </c>
      <c r="R30" s="8" t="n">
        <v>200</v>
      </c>
      <c r="S30" s="8" t="n">
        <v>200</v>
      </c>
      <c r="T30" s="8" t="n">
        <v>200</v>
      </c>
      <c r="U30" s="8" t="n">
        <v>200</v>
      </c>
      <c r="V30" s="40" t="inlineStr">
        <is>
          <t>+0%</t>
        </is>
      </c>
      <c r="W30" s="40" t="inlineStr">
        <is>
          <t>Within Africa destinations</t>
        </is>
      </c>
    </row>
    <row r="31" ht="22" customHeight="1">
      <c r="A31" s="39" t="inlineStr">
        <is>
          <t>Studying in Europe</t>
        </is>
      </c>
      <c r="B31" s="8" t="n">
        <v>1</v>
      </c>
      <c r="C31" s="8" t="n">
        <v>2</v>
      </c>
      <c r="D31" s="8" t="n">
        <v>3</v>
      </c>
      <c r="E31" s="8" t="n">
        <v>5</v>
      </c>
      <c r="F31" s="8" t="n">
        <v>8</v>
      </c>
      <c r="G31" s="8" t="n">
        <v>12</v>
      </c>
      <c r="H31" s="8" t="n">
        <v>15</v>
      </c>
      <c r="I31" s="8" t="n">
        <v>18</v>
      </c>
      <c r="J31" s="8" t="n">
        <v>20</v>
      </c>
      <c r="K31" s="8" t="n">
        <v>21</v>
      </c>
      <c r="L31" s="8" t="n">
        <v>22</v>
      </c>
      <c r="M31" s="8" t="n">
        <v>24</v>
      </c>
      <c r="N31" s="8" t="n">
        <v>24</v>
      </c>
      <c r="O31" s="8" t="n">
        <v>24</v>
      </c>
      <c r="P31" s="8" t="n">
        <v>24</v>
      </c>
      <c r="Q31" s="8" t="n">
        <v>24</v>
      </c>
      <c r="R31" s="8" t="n">
        <v>24</v>
      </c>
      <c r="S31" s="8" t="n">
        <v>24</v>
      </c>
      <c r="T31" s="8" t="n">
        <v>24</v>
      </c>
      <c r="U31" s="8" t="n">
        <v>24</v>
      </c>
      <c r="V31" s="40" t="inlineStr">
        <is>
          <t>+20%</t>
        </is>
      </c>
      <c r="W31" s="40" t="inlineStr">
        <is>
          <t>European universities</t>
        </is>
      </c>
    </row>
  </sheetData>
  <mergeCells count="11">
    <mergeCell ref="A12:U12"/>
    <mergeCell ref="A26:U26"/>
    <mergeCell ref="B4:E4"/>
    <mergeCell ref="R4:U4"/>
    <mergeCell ref="A2:U2"/>
    <mergeCell ref="F4:I4"/>
    <mergeCell ref="J4:M4"/>
    <mergeCell ref="N4:Q4"/>
    <mergeCell ref="A1:U1"/>
    <mergeCell ref="A18:U18"/>
    <mergeCell ref="A3:U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4" customWidth="1" min="3" max="3"/>
    <col width="16" customWidth="1" min="4" max="4"/>
    <col width="14" customWidth="1" min="5" max="5"/>
    <col width="18" customWidth="1" min="6" max="6"/>
    <col width="25" customWidth="1" min="7" max="7"/>
    <col width="18" customWidth="1" min="8" max="8"/>
    <col width="14" customWidth="1" min="9" max="9"/>
  </cols>
  <sheetData>
    <row r="1" ht="25" customHeight="1">
      <c r="A1" s="4" t="inlineStr">
        <is>
          <t>CHII IMPACT REPORTS TRACKER</t>
        </is>
      </c>
    </row>
    <row r="2">
      <c r="A2" s="34" t="inlineStr">
        <is>
          <t>Reports across HEMP, HENT, HECO, and MELA | 26 Resources | Updated 18 June 2026</t>
        </is>
      </c>
    </row>
    <row r="3" ht="24" customHeight="1">
      <c r="A3" s="43" t="inlineStr">
        <is>
          <t>Report Name</t>
        </is>
      </c>
      <c r="B3" s="43" t="inlineStr">
        <is>
          <t>Pillar</t>
        </is>
      </c>
      <c r="C3" s="43" t="inlineStr">
        <is>
          <t>Status</t>
        </is>
      </c>
      <c r="D3" s="43" t="inlineStr">
        <is>
          <t>Publication Date</t>
        </is>
      </c>
      <c r="E3" s="43" t="inlineStr">
        <is>
          <t>Due Date</t>
        </is>
      </c>
      <c r="F3" s="43" t="inlineStr">
        <is>
          <t>Report Type</t>
        </is>
      </c>
      <c r="G3" s="43" t="inlineStr">
        <is>
          <t>Key Focus Area</t>
        </is>
      </c>
      <c r="H3" s="43" t="inlineStr">
        <is>
          <t>Notes</t>
        </is>
      </c>
      <c r="I3" s="43" t="inlineStr">
        <is>
          <t>Report Link</t>
        </is>
      </c>
    </row>
    <row r="4" ht="30" customHeight="1">
      <c r="A4" s="44" t="inlineStr">
        <is>
          <t>HealthX report</t>
        </is>
      </c>
      <c r="B4" s="45" t="inlineStr">
        <is>
          <t>HEMP</t>
        </is>
      </c>
      <c r="C4" s="46" t="inlineStr">
        <is>
          <t>Published</t>
        </is>
      </c>
      <c r="D4" s="10" t="inlineStr">
        <is>
          <t>2026-06-15</t>
        </is>
      </c>
      <c r="E4" s="10" t="inlineStr"/>
      <c r="F4" s="25" t="inlineStr">
        <is>
          <t>Programme Outcomes</t>
        </is>
      </c>
      <c r="G4" s="25" t="inlineStr">
        <is>
          <t>HealthX programme reach &amp; outcomes</t>
        </is>
      </c>
      <c r="H4" s="47" t="inlineStr">
        <is>
          <t>NEW report</t>
        </is>
      </c>
      <c r="I4" s="48" t="inlineStr">
        <is>
          <t>View report</t>
        </is>
      </c>
    </row>
    <row r="5" ht="30" customHeight="1">
      <c r="A5" s="44" t="inlineStr">
        <is>
          <t>SIE cohort report</t>
        </is>
      </c>
      <c r="B5" s="45" t="inlineStr">
        <is>
          <t>HEMP</t>
        </is>
      </c>
      <c r="C5" s="46" t="inlineStr">
        <is>
          <t>Published</t>
        </is>
      </c>
      <c r="D5" s="10" t="inlineStr">
        <is>
          <t>2026-05-30</t>
        </is>
      </c>
      <c r="E5" s="10" t="inlineStr"/>
      <c r="F5" s="25" t="inlineStr">
        <is>
          <t>Cohort Performance</t>
        </is>
      </c>
      <c r="G5" s="25" t="inlineStr">
        <is>
          <t>SIE cohort progression &amp; performance</t>
        </is>
      </c>
      <c r="H5" s="47" t="inlineStr"/>
      <c r="I5" s="48" t="inlineStr">
        <is>
          <t>View report</t>
        </is>
      </c>
    </row>
    <row r="6" ht="30" customHeight="1">
      <c r="A6" s="44" t="inlineStr">
        <is>
          <t>Mission Students report</t>
        </is>
      </c>
      <c r="B6" s="45" t="inlineStr">
        <is>
          <t>HEMP</t>
        </is>
      </c>
      <c r="C6" s="46" t="inlineStr">
        <is>
          <t>Published</t>
        </is>
      </c>
      <c r="D6" s="10" t="inlineStr">
        <is>
          <t>2026-05-15</t>
        </is>
      </c>
      <c r="E6" s="10" t="inlineStr"/>
      <c r="F6" s="25" t="inlineStr">
        <is>
          <t>Student Engagement</t>
        </is>
      </c>
      <c r="G6" s="25" t="inlineStr">
        <is>
          <t>Mission Students engagement &amp; impact</t>
        </is>
      </c>
      <c r="H6" s="47" t="inlineStr"/>
      <c r="I6" s="48" t="inlineStr">
        <is>
          <t>View report</t>
        </is>
      </c>
    </row>
    <row r="7" ht="30" customHeight="1">
      <c r="A7" s="44" t="inlineStr">
        <is>
          <t>Internship funnel report</t>
        </is>
      </c>
      <c r="B7" s="45" t="inlineStr">
        <is>
          <t>HEMP</t>
        </is>
      </c>
      <c r="C7" s="49" t="inlineStr">
        <is>
          <t>In Progress</t>
        </is>
      </c>
      <c r="D7" s="10" t="inlineStr"/>
      <c r="E7" s="10" t="inlineStr">
        <is>
          <t>2026-Q3</t>
        </is>
      </c>
      <c r="F7" s="25" t="inlineStr">
        <is>
          <t>Funnel Analysis</t>
        </is>
      </c>
      <c r="G7" s="25" t="inlineStr">
        <is>
          <t>Applicant-to-placement funnel</t>
        </is>
      </c>
      <c r="H7" s="47" t="inlineStr">
        <is>
          <t>Due Q3 2026</t>
        </is>
      </c>
      <c r="I7" s="48" t="inlineStr">
        <is>
          <t>In progress</t>
        </is>
      </c>
    </row>
    <row r="8" ht="30" customHeight="1">
      <c r="A8" s="44" t="inlineStr">
        <is>
          <t>Internship partnership performance report</t>
        </is>
      </c>
      <c r="B8" s="45" t="inlineStr">
        <is>
          <t>HEMP</t>
        </is>
      </c>
      <c r="C8" s="46" t="inlineStr">
        <is>
          <t>Published</t>
        </is>
      </c>
      <c r="D8" s="10" t="inlineStr">
        <is>
          <t>2026-04-20</t>
        </is>
      </c>
      <c r="E8" s="10" t="inlineStr"/>
      <c r="F8" s="25" t="inlineStr">
        <is>
          <t>Partnership Performance</t>
        </is>
      </c>
      <c r="G8" s="25" t="inlineStr">
        <is>
          <t>Internship partner performance &amp; placements</t>
        </is>
      </c>
      <c r="H8" s="47" t="inlineStr"/>
      <c r="I8" s="48" t="inlineStr">
        <is>
          <t>View report</t>
        </is>
      </c>
    </row>
    <row r="9" ht="30" customHeight="1">
      <c r="A9" s="44" t="inlineStr">
        <is>
          <t>Courses enrollment &amp; completion report</t>
        </is>
      </c>
      <c r="B9" s="45" t="inlineStr">
        <is>
          <t>HEMP</t>
        </is>
      </c>
      <c r="C9" s="46" t="inlineStr">
        <is>
          <t>Published</t>
        </is>
      </c>
      <c r="D9" s="10" t="inlineStr">
        <is>
          <t>2026-04-10</t>
        </is>
      </c>
      <c r="E9" s="10" t="inlineStr"/>
      <c r="F9" s="25" t="inlineStr">
        <is>
          <t>Course Analytics</t>
        </is>
      </c>
      <c r="G9" s="25" t="inlineStr">
        <is>
          <t>Enrollment and completion rates across courses</t>
        </is>
      </c>
      <c r="H9" s="47" t="inlineStr"/>
      <c r="I9" s="48" t="inlineStr">
        <is>
          <t>View report</t>
        </is>
      </c>
    </row>
    <row r="10" ht="30" customHeight="1">
      <c r="A10" s="44" t="inlineStr">
        <is>
          <t>Intro to Global Health course report</t>
        </is>
      </c>
      <c r="B10" s="45" t="inlineStr">
        <is>
          <t>HEMP</t>
        </is>
      </c>
      <c r="C10" s="46" t="inlineStr">
        <is>
          <t>Published</t>
        </is>
      </c>
      <c r="D10" s="10" t="inlineStr">
        <is>
          <t>2026-03-25</t>
        </is>
      </c>
      <c r="E10" s="10" t="inlineStr"/>
      <c r="F10" s="25" t="inlineStr">
        <is>
          <t>Course Delivery</t>
        </is>
      </c>
      <c r="G10" s="25" t="inlineStr">
        <is>
          <t>Intro to Global Health delivery &amp; outcomes</t>
        </is>
      </c>
      <c r="H10" s="47" t="inlineStr"/>
      <c r="I10" s="48" t="inlineStr">
        <is>
          <t>View report</t>
        </is>
      </c>
    </row>
    <row r="11" ht="30" customHeight="1">
      <c r="A11" s="44" t="inlineStr">
        <is>
          <t>Ethics course report</t>
        </is>
      </c>
      <c r="B11" s="45" t="inlineStr">
        <is>
          <t>HEMP</t>
        </is>
      </c>
      <c r="C11" s="46" t="inlineStr">
        <is>
          <t>Published</t>
        </is>
      </c>
      <c r="D11" s="10" t="inlineStr">
        <is>
          <t>2026-03-15</t>
        </is>
      </c>
      <c r="E11" s="10" t="inlineStr"/>
      <c r="F11" s="25" t="inlineStr">
        <is>
          <t>Course Delivery</t>
        </is>
      </c>
      <c r="G11" s="25" t="inlineStr">
        <is>
          <t>Ethics course delivery &amp; outcomes</t>
        </is>
      </c>
      <c r="H11" s="47" t="inlineStr"/>
      <c r="I11" s="48" t="inlineStr">
        <is>
          <t>View report</t>
        </is>
      </c>
    </row>
    <row r="12" ht="30" customHeight="1">
      <c r="A12" s="44" t="inlineStr">
        <is>
          <t>Hackathon report</t>
        </is>
      </c>
      <c r="B12" s="50" t="inlineStr">
        <is>
          <t>HENT</t>
        </is>
      </c>
      <c r="C12" s="46" t="inlineStr">
        <is>
          <t>Published</t>
        </is>
      </c>
      <c r="D12" s="10" t="inlineStr">
        <is>
          <t>2026-06-10</t>
        </is>
      </c>
      <c r="E12" s="10" t="inlineStr"/>
      <c r="F12" s="25" t="inlineStr">
        <is>
          <t>Event Outcomes</t>
        </is>
      </c>
      <c r="G12" s="25" t="inlineStr">
        <is>
          <t>HENT hackathon participation &amp; outcomes</t>
        </is>
      </c>
      <c r="H12" s="47" t="inlineStr">
        <is>
          <t>NEW report</t>
        </is>
      </c>
      <c r="I12" s="48" t="inlineStr">
        <is>
          <t>View report</t>
        </is>
      </c>
    </row>
    <row r="13" ht="30" customHeight="1">
      <c r="A13" s="44" t="inlineStr">
        <is>
          <t>Funding report</t>
        </is>
      </c>
      <c r="B13" s="50" t="inlineStr">
        <is>
          <t>HENT</t>
        </is>
      </c>
      <c r="C13" s="46" t="inlineStr">
        <is>
          <t>Published</t>
        </is>
      </c>
      <c r="D13" s="10" t="inlineStr">
        <is>
          <t>2026-05-20</t>
        </is>
      </c>
      <c r="E13" s="10" t="inlineStr"/>
      <c r="F13" s="25" t="inlineStr">
        <is>
          <t>Capital Raised</t>
        </is>
      </c>
      <c r="G13" s="25" t="inlineStr">
        <is>
          <t>Funding raised and disbursed across enterprises</t>
        </is>
      </c>
      <c r="H13" s="47" t="inlineStr"/>
      <c r="I13" s="48" t="inlineStr">
        <is>
          <t>View report</t>
        </is>
      </c>
    </row>
    <row r="14" ht="30" customHeight="1">
      <c r="A14" s="44" t="inlineStr">
        <is>
          <t>Enterprise portfolio report</t>
        </is>
      </c>
      <c r="B14" s="50" t="inlineStr">
        <is>
          <t>HENT</t>
        </is>
      </c>
      <c r="C14" s="49" t="inlineStr">
        <is>
          <t>In Progress</t>
        </is>
      </c>
      <c r="D14" s="10" t="inlineStr"/>
      <c r="E14" s="10" t="inlineStr">
        <is>
          <t>2026-Q4</t>
        </is>
      </c>
      <c r="F14" s="25" t="inlineStr">
        <is>
          <t>Portfolio Health</t>
        </is>
      </c>
      <c r="G14" s="25" t="inlineStr">
        <is>
          <t>Health of enterprise portfolio &amp; growth metrics</t>
        </is>
      </c>
      <c r="H14" s="47" t="inlineStr">
        <is>
          <t>Due Q4 2026</t>
        </is>
      </c>
      <c r="I14" s="48" t="inlineStr">
        <is>
          <t>In progress</t>
        </is>
      </c>
    </row>
    <row r="15" ht="30" customHeight="1">
      <c r="A15" s="44" t="inlineStr">
        <is>
          <t>Masterclasses report</t>
        </is>
      </c>
      <c r="B15" s="50" t="inlineStr">
        <is>
          <t>HENT</t>
        </is>
      </c>
      <c r="C15" s="46" t="inlineStr">
        <is>
          <t>Published</t>
        </is>
      </c>
      <c r="D15" s="10" t="inlineStr">
        <is>
          <t>2026-04-15</t>
        </is>
      </c>
      <c r="E15" s="10" t="inlineStr"/>
      <c r="F15" s="25" t="inlineStr">
        <is>
          <t>Training Impact</t>
        </is>
      </c>
      <c r="G15" s="25" t="inlineStr">
        <is>
          <t>Masterclass attendance and impact</t>
        </is>
      </c>
      <c r="H15" s="47" t="inlineStr"/>
      <c r="I15" s="48" t="inlineStr">
        <is>
          <t>View report</t>
        </is>
      </c>
    </row>
    <row r="16" ht="30" customHeight="1">
      <c r="A16" s="44" t="inlineStr">
        <is>
          <t>Mentorship report</t>
        </is>
      </c>
      <c r="B16" s="50" t="inlineStr">
        <is>
          <t>HENT</t>
        </is>
      </c>
      <c r="C16" s="46" t="inlineStr">
        <is>
          <t>Published</t>
        </is>
      </c>
      <c r="D16" s="10" t="inlineStr">
        <is>
          <t>2026-04-05</t>
        </is>
      </c>
      <c r="E16" s="10" t="inlineStr"/>
      <c r="F16" s="25" t="inlineStr">
        <is>
          <t>Support Outcomes</t>
        </is>
      </c>
      <c r="G16" s="25" t="inlineStr">
        <is>
          <t>Mentorship engagement and outcomes</t>
        </is>
      </c>
      <c r="H16" s="47" t="inlineStr"/>
      <c r="I16" s="48" t="inlineStr">
        <is>
          <t>View report</t>
        </is>
      </c>
    </row>
    <row r="17" ht="30" customHeight="1">
      <c r="A17" s="44" t="inlineStr">
        <is>
          <t>Application &amp; selection report</t>
        </is>
      </c>
      <c r="B17" s="50" t="inlineStr">
        <is>
          <t>HENT</t>
        </is>
      </c>
      <c r="C17" s="46" t="inlineStr">
        <is>
          <t>Published</t>
        </is>
      </c>
      <c r="D17" s="10" t="inlineStr">
        <is>
          <t>2026-03-20</t>
        </is>
      </c>
      <c r="E17" s="10" t="inlineStr"/>
      <c r="F17" s="25" t="inlineStr">
        <is>
          <t>Selection Process</t>
        </is>
      </c>
      <c r="G17" s="25" t="inlineStr">
        <is>
          <t>Application volumes and selection outcomes</t>
        </is>
      </c>
      <c r="H17" s="47" t="inlineStr"/>
      <c r="I17" s="48" t="inlineStr">
        <is>
          <t>View report</t>
        </is>
      </c>
    </row>
    <row r="18" ht="30" customHeight="1">
      <c r="A18" s="44" t="inlineStr">
        <is>
          <t>CRA report</t>
        </is>
      </c>
      <c r="B18" s="51" t="inlineStr">
        <is>
          <t>HECO</t>
        </is>
      </c>
      <c r="C18" s="49" t="inlineStr">
        <is>
          <t>In Progress</t>
        </is>
      </c>
      <c r="D18" s="10" t="inlineStr"/>
      <c r="E18" s="10" t="inlineStr">
        <is>
          <t>2026-Q3</t>
        </is>
      </c>
      <c r="F18" s="25" t="inlineStr">
        <is>
          <t>Community Activities</t>
        </is>
      </c>
      <c r="G18" s="25" t="inlineStr">
        <is>
          <t>Community Research Associate activity &amp; outcomes</t>
        </is>
      </c>
      <c r="H18" s="47" t="inlineStr">
        <is>
          <t>Due Q3 2026</t>
        </is>
      </c>
      <c r="I18" s="48" t="inlineStr">
        <is>
          <t>In progress</t>
        </is>
      </c>
    </row>
    <row r="19" ht="30" customHeight="1">
      <c r="A19" s="44" t="inlineStr">
        <is>
          <t>Cross-pillar performance report</t>
        </is>
      </c>
      <c r="B19" s="52" t="inlineStr">
        <is>
          <t>MELA</t>
        </is>
      </c>
      <c r="C19" s="46" t="inlineStr">
        <is>
          <t>Published</t>
        </is>
      </c>
      <c r="D19" s="10" t="inlineStr">
        <is>
          <t>2026-06-05</t>
        </is>
      </c>
      <c r="E19" s="10" t="inlineStr"/>
      <c r="F19" s="25" t="inlineStr">
        <is>
          <t>Aggregate Performance</t>
        </is>
      </c>
      <c r="G19" s="25" t="inlineStr">
        <is>
          <t>Performance rolled up across HEMP, HENT, HECO</t>
        </is>
      </c>
      <c r="H19" s="47" t="inlineStr"/>
      <c r="I19" s="48" t="inlineStr">
        <is>
          <t>View report</t>
        </is>
      </c>
    </row>
    <row r="20" ht="30" customHeight="1">
      <c r="A20" s="44" t="inlineStr">
        <is>
          <t>Data quality report</t>
        </is>
      </c>
      <c r="B20" s="52" t="inlineStr">
        <is>
          <t>MELA</t>
        </is>
      </c>
      <c r="C20" s="46" t="inlineStr">
        <is>
          <t>Published</t>
        </is>
      </c>
      <c r="D20" s="10" t="inlineStr">
        <is>
          <t>2026-05-25</t>
        </is>
      </c>
      <c r="E20" s="10" t="inlineStr"/>
      <c r="F20" s="25" t="inlineStr">
        <is>
          <t>Data Assessment</t>
        </is>
      </c>
      <c r="G20" s="25" t="inlineStr">
        <is>
          <t>Data completeness, accuracy, timeliness</t>
        </is>
      </c>
      <c r="H20" s="47" t="inlineStr"/>
      <c r="I20" s="48" t="inlineStr">
        <is>
          <t>View report</t>
        </is>
      </c>
    </row>
    <row r="21" ht="30" customHeight="1">
      <c r="A21" s="44" t="inlineStr">
        <is>
          <t>Learning brief</t>
        </is>
      </c>
      <c r="B21" s="52" t="inlineStr">
        <is>
          <t>MELA</t>
        </is>
      </c>
      <c r="C21" s="46" t="inlineStr">
        <is>
          <t>Published</t>
        </is>
      </c>
      <c r="D21" s="10" t="inlineStr">
        <is>
          <t>2026-05-10</t>
        </is>
      </c>
      <c r="E21" s="10" t="inlineStr"/>
      <c r="F21" s="25" t="inlineStr">
        <is>
          <t>Key Learnings</t>
        </is>
      </c>
      <c r="G21" s="25" t="inlineStr">
        <is>
          <t>Key learnings distilled from programme data</t>
        </is>
      </c>
      <c r="H21" s="47" t="inlineStr"/>
      <c r="I21" s="48" t="inlineStr">
        <is>
          <t>View report</t>
        </is>
      </c>
    </row>
    <row r="22" ht="30" customHeight="1">
      <c r="A22" s="44" t="inlineStr">
        <is>
          <t>Adaptation log</t>
        </is>
      </c>
      <c r="B22" s="52" t="inlineStr">
        <is>
          <t>MELA</t>
        </is>
      </c>
      <c r="C22" s="46" t="inlineStr">
        <is>
          <t>Published</t>
        </is>
      </c>
      <c r="D22" s="10" t="inlineStr">
        <is>
          <t>2026-04-30</t>
        </is>
      </c>
      <c r="E22" s="10" t="inlineStr"/>
      <c r="F22" s="25" t="inlineStr">
        <is>
          <t>Decision Log</t>
        </is>
      </c>
      <c r="G22" s="25" t="inlineStr">
        <is>
          <t>Record of programme adaptations and decisions</t>
        </is>
      </c>
      <c r="H22" s="47" t="inlineStr"/>
      <c r="I22" s="48" t="inlineStr">
        <is>
          <t>View report</t>
        </is>
      </c>
    </row>
    <row r="23" ht="30" customHeight="1">
      <c r="A23" s="44" t="inlineStr">
        <is>
          <t>Indicator health report</t>
        </is>
      </c>
      <c r="B23" s="52" t="inlineStr">
        <is>
          <t>MELA</t>
        </is>
      </c>
      <c r="C23" s="46" t="inlineStr">
        <is>
          <t>Published</t>
        </is>
      </c>
      <c r="D23" s="10" t="inlineStr">
        <is>
          <t>2026-04-15</t>
        </is>
      </c>
      <c r="E23" s="10" t="inlineStr"/>
      <c r="F23" s="25" t="inlineStr">
        <is>
          <t>Target Tracking</t>
        </is>
      </c>
      <c r="G23" s="25" t="inlineStr">
        <is>
          <t>Status of indicators against targets</t>
        </is>
      </c>
      <c r="H23" s="47" t="inlineStr"/>
      <c r="I23" s="48" t="inlineStr">
        <is>
          <t>View report</t>
        </is>
      </c>
    </row>
    <row r="24" ht="30" customHeight="1">
      <c r="A24" s="44" t="inlineStr">
        <is>
          <t>Baseline / midterm / endline evaluation reports</t>
        </is>
      </c>
      <c r="B24" s="52" t="inlineStr">
        <is>
          <t>MELA</t>
        </is>
      </c>
      <c r="C24" s="49" t="inlineStr">
        <is>
          <t>In Progress</t>
        </is>
      </c>
      <c r="D24" s="10" t="inlineStr"/>
      <c r="E24" s="10" t="inlineStr">
        <is>
          <t>2026-Q4</t>
        </is>
      </c>
      <c r="F24" s="25" t="inlineStr">
        <is>
          <t>Evaluation Results</t>
        </is>
      </c>
      <c r="G24" s="25" t="inlineStr">
        <is>
          <t>Evaluation reports across programme lifecycle</t>
        </is>
      </c>
      <c r="H24" s="47" t="inlineStr">
        <is>
          <t>Due Q4 2026</t>
        </is>
      </c>
      <c r="I24" s="48" t="inlineStr">
        <is>
          <t>In progress</t>
        </is>
      </c>
    </row>
    <row r="25" ht="30" customHeight="1">
      <c r="A25" s="44" t="inlineStr">
        <is>
          <t>MEL capacity report</t>
        </is>
      </c>
      <c r="B25" s="52" t="inlineStr">
        <is>
          <t>MELA</t>
        </is>
      </c>
      <c r="C25" s="46" t="inlineStr">
        <is>
          <t>Published</t>
        </is>
      </c>
      <c r="D25" s="10" t="inlineStr">
        <is>
          <t>2026-03-30</t>
        </is>
      </c>
      <c r="E25" s="10" t="inlineStr"/>
      <c r="F25" s="25" t="inlineStr">
        <is>
          <t>Capacity Assessment</t>
        </is>
      </c>
      <c r="G25" s="25" t="inlineStr">
        <is>
          <t>Assessment of M&amp;E capacity</t>
        </is>
      </c>
      <c r="H25" s="47" t="inlineStr"/>
      <c r="I25" s="48" t="inlineStr">
        <is>
          <t>View report</t>
        </is>
      </c>
    </row>
    <row r="26" ht="30" customHeight="1">
      <c r="A26" s="44" t="inlineStr">
        <is>
          <t>Framework alignment report</t>
        </is>
      </c>
      <c r="B26" s="52" t="inlineStr">
        <is>
          <t>MELA</t>
        </is>
      </c>
      <c r="C26" s="46" t="inlineStr">
        <is>
          <t>Published</t>
        </is>
      </c>
      <c r="D26" s="10" t="inlineStr">
        <is>
          <t>2026-03-20</t>
        </is>
      </c>
      <c r="E26" s="10" t="inlineStr"/>
      <c r="F26" s="25" t="inlineStr">
        <is>
          <t>Framework Alignment</t>
        </is>
      </c>
      <c r="G26" s="25" t="inlineStr">
        <is>
          <t>Alignment of activities to results framework</t>
        </is>
      </c>
      <c r="H26" s="47" t="inlineStr"/>
      <c r="I26" s="48" t="inlineStr">
        <is>
          <t>View report</t>
        </is>
      </c>
    </row>
    <row r="27" ht="30" customHeight="1">
      <c r="A27" s="44" t="inlineStr">
        <is>
          <t>MCF Quarterly report</t>
        </is>
      </c>
      <c r="B27" s="52" t="inlineStr">
        <is>
          <t>MELA</t>
        </is>
      </c>
      <c r="C27" s="46" t="inlineStr">
        <is>
          <t>Published</t>
        </is>
      </c>
      <c r="D27" s="10" t="inlineStr">
        <is>
          <t>2026-06-15</t>
        </is>
      </c>
      <c r="E27" s="10" t="inlineStr"/>
      <c r="F27" s="25" t="inlineStr">
        <is>
          <t>Funder Reporting</t>
        </is>
      </c>
      <c r="G27" s="25" t="inlineStr">
        <is>
          <t>Quarterly reporting to Mastercard Foundation</t>
        </is>
      </c>
      <c r="H27" s="47" t="inlineStr">
        <is>
          <t>NEW report</t>
        </is>
      </c>
      <c r="I27" s="48" t="inlineStr">
        <is>
          <t>View report</t>
        </is>
      </c>
    </row>
    <row r="28" ht="30" customHeight="1">
      <c r="A28" s="44" t="inlineStr">
        <is>
          <t>MCF Bi-annual outcomes report</t>
        </is>
      </c>
      <c r="B28" s="52" t="inlineStr">
        <is>
          <t>MELA</t>
        </is>
      </c>
      <c r="C28" s="46" t="inlineStr">
        <is>
          <t>Published</t>
        </is>
      </c>
      <c r="D28" s="10" t="inlineStr">
        <is>
          <t>2026-05-01</t>
        </is>
      </c>
      <c r="E28" s="10" t="inlineStr"/>
      <c r="F28" s="25" t="inlineStr">
        <is>
          <t>Outcomes Reporting</t>
        </is>
      </c>
      <c r="G28" s="25" t="inlineStr">
        <is>
          <t>Bi-annual outcomes to Mastercard Foundation</t>
        </is>
      </c>
      <c r="H28" s="47" t="inlineStr"/>
      <c r="I28" s="48" t="inlineStr">
        <is>
          <t>View report</t>
        </is>
      </c>
    </row>
    <row r="29" ht="30" customHeight="1">
      <c r="A29" s="44" t="inlineStr">
        <is>
          <t>Beneficiary feedback report</t>
        </is>
      </c>
      <c r="B29" s="52" t="inlineStr">
        <is>
          <t>MELA</t>
        </is>
      </c>
      <c r="C29" s="46" t="inlineStr">
        <is>
          <t>Published</t>
        </is>
      </c>
      <c r="D29" s="10" t="inlineStr">
        <is>
          <t>2026-03-10</t>
        </is>
      </c>
      <c r="E29" s="10" t="inlineStr"/>
      <c r="F29" s="25" t="inlineStr">
        <is>
          <t>Feedback &amp; Voice</t>
        </is>
      </c>
      <c r="G29" s="25" t="inlineStr">
        <is>
          <t>Feedback gathered from programme beneficiaries</t>
        </is>
      </c>
      <c r="H29" s="47" t="inlineStr"/>
      <c r="I29" s="48" t="inlineStr">
        <is>
          <t>View report</t>
        </is>
      </c>
    </row>
    <row r="32" ht="18" customHeight="1">
      <c r="A32" s="35" t="inlineStr">
        <is>
          <t>REPORT SUMMARY</t>
        </is>
      </c>
    </row>
    <row r="33">
      <c r="A33" s="53" t="inlineStr">
        <is>
          <t>Total Reports</t>
        </is>
      </c>
      <c r="B33" s="54" t="n">
        <v>26</v>
      </c>
    </row>
    <row r="34">
      <c r="A34" s="53" t="inlineStr">
        <is>
          <t>HEMP Reports</t>
        </is>
      </c>
      <c r="B34" s="54" t="n">
        <v>8</v>
      </c>
    </row>
    <row r="35">
      <c r="A35" s="53" t="inlineStr">
        <is>
          <t>HENT Reports</t>
        </is>
      </c>
      <c r="B35" s="54" t="n">
        <v>6</v>
      </c>
    </row>
    <row r="36">
      <c r="A36" s="53" t="inlineStr">
        <is>
          <t>HECO Reports</t>
        </is>
      </c>
      <c r="B36" s="54" t="n">
        <v>1</v>
      </c>
    </row>
    <row r="37">
      <c r="A37" s="53" t="inlineStr">
        <is>
          <t>MELA Reports</t>
        </is>
      </c>
      <c r="B37" s="54" t="n">
        <v>11</v>
      </c>
    </row>
    <row r="38">
      <c r="A38" s="53" t="inlineStr">
        <is>
          <t>Published Reports</t>
        </is>
      </c>
      <c r="B38" s="54" t="n">
        <v>20</v>
      </c>
    </row>
    <row r="39">
      <c r="A39" s="53" t="inlineStr">
        <is>
          <t>In Progress Reports</t>
        </is>
      </c>
      <c r="B39" s="54" t="n">
        <v>6</v>
      </c>
    </row>
  </sheetData>
  <mergeCells count="3">
    <mergeCell ref="A1:I1"/>
    <mergeCell ref="A32:I32"/>
    <mergeCell ref="A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4" customWidth="1" min="4" max="4"/>
    <col width="16" customWidth="1" min="5" max="5"/>
    <col width="10" customWidth="1" min="6" max="6"/>
    <col width="16" customWidth="1" min="7" max="7"/>
    <col width="14" customWidth="1" min="8" max="8"/>
    <col width="28" customWidth="1" min="9" max="9"/>
    <col width="14" customWidth="1" min="10" max="10"/>
    <col width="10" customWidth="1" min="11" max="11"/>
  </cols>
  <sheetData>
    <row r="1" ht="25" customHeight="1">
      <c r="A1" s="4" t="inlineStr">
        <is>
          <t>CHII IMPACT STORIES COLLECTION</t>
        </is>
      </c>
    </row>
    <row r="2">
      <c r="A2" s="34" t="inlineStr">
        <is>
          <t>Centralized Story Management | Video + Text Stories Across 29 Countries | Updated 18 June 2026</t>
        </is>
      </c>
    </row>
    <row r="4" ht="18" customHeight="1">
      <c r="A4" s="35" t="inlineStr">
        <is>
          <t>STORY COLLECTION SUMMARY</t>
        </is>
      </c>
    </row>
    <row r="6">
      <c r="A6" s="57" t="inlineStr">
        <is>
          <t>Total Stories</t>
        </is>
      </c>
      <c r="B6" s="58" t="n">
        <v>364</v>
      </c>
    </row>
    <row r="8">
      <c r="A8" s="57" t="inlineStr">
        <is>
          <t>Video Stories</t>
        </is>
      </c>
      <c r="B8" s="58" t="n">
        <v>15</v>
      </c>
    </row>
    <row r="10">
      <c r="A10" s="57" t="inlineStr">
        <is>
          <t>Text Stories</t>
        </is>
      </c>
      <c r="B10" s="58" t="n">
        <v>349</v>
      </c>
    </row>
    <row r="12">
      <c r="A12" s="57" t="inlineStr">
        <is>
          <t>Countries Represented</t>
        </is>
      </c>
      <c r="B12" s="58" t="n">
        <v>29</v>
      </c>
    </row>
    <row r="14">
      <c r="A14" s="57" t="inlineStr">
        <is>
          <t>Active Story Collections</t>
        </is>
      </c>
      <c r="B14" s="58" t="n">
        <v>12</v>
      </c>
    </row>
    <row r="17" ht="18" customHeight="1">
      <c r="A17" s="35" t="inlineStr">
        <is>
          <t>STORY DATABASE - FULL COLLECTION</t>
        </is>
      </c>
    </row>
    <row r="18" ht="24" customHeight="1">
      <c r="A18" s="43" t="inlineStr">
        <is>
          <t>Story ID</t>
        </is>
      </c>
      <c r="B18" s="43" t="inlineStr">
        <is>
          <t>Story Name</t>
        </is>
      </c>
      <c r="C18" s="43" t="inlineStr">
        <is>
          <t>Story Type</t>
        </is>
      </c>
      <c r="D18" s="43" t="inlineStr">
        <is>
          <t>Country</t>
        </is>
      </c>
      <c r="E18" s="43" t="inlineStr">
        <is>
          <t>Pillar/Mission</t>
        </is>
      </c>
      <c r="F18" s="43" t="inlineStr">
        <is>
          <t>Gender</t>
        </is>
      </c>
      <c r="G18" s="43" t="inlineStr">
        <is>
          <t>Humanitarian Status</t>
        </is>
      </c>
      <c r="H18" s="43" t="inlineStr">
        <is>
          <t>Disability Status</t>
        </is>
      </c>
      <c r="I18" s="43" t="inlineStr">
        <is>
          <t>Story Link</t>
        </is>
      </c>
      <c r="J18" s="43" t="inlineStr">
        <is>
          <t>Date Captured</t>
        </is>
      </c>
      <c r="K18" s="43" t="inlineStr">
        <is>
          <t>Featured</t>
        </is>
      </c>
    </row>
    <row r="19" ht="20" customHeight="1">
      <c r="A19" s="10" t="n">
        <v>1</v>
      </c>
      <c r="B19" s="59" t="inlineStr">
        <is>
          <t>From Mission to Medicine</t>
        </is>
      </c>
      <c r="C19" s="60" t="inlineStr">
        <is>
          <t>Video</t>
        </is>
      </c>
      <c r="D19" s="10" t="inlineStr">
        <is>
          <t>Rwanda</t>
        </is>
      </c>
      <c r="E19" s="10" t="inlineStr">
        <is>
          <t>HEMP</t>
        </is>
      </c>
      <c r="F19" s="10" t="inlineStr">
        <is>
          <t>Female</t>
        </is>
      </c>
      <c r="G19" s="10" t="inlineStr">
        <is>
          <t>Refugee</t>
        </is>
      </c>
      <c r="H19" s="10" t="inlineStr">
        <is>
          <t>No</t>
        </is>
      </c>
      <c r="I19" s="61" t="inlineStr">
        <is>
          <t>https://stories.chii.org/v/001</t>
        </is>
      </c>
      <c r="J19" s="10" t="inlineStr">
        <is>
          <t>2026-06-15</t>
        </is>
      </c>
      <c r="K19" s="10" t="inlineStr">
        <is>
          <t>Yes</t>
        </is>
      </c>
    </row>
    <row r="20" ht="20" customHeight="1">
      <c r="A20" s="10" t="n">
        <v>2</v>
      </c>
      <c r="B20" s="59" t="inlineStr">
        <is>
          <t>Tech Startup in Rural Kenya</t>
        </is>
      </c>
      <c r="C20" s="60" t="inlineStr">
        <is>
          <t>Video</t>
        </is>
      </c>
      <c r="D20" s="10" t="inlineStr">
        <is>
          <t>Kenya</t>
        </is>
      </c>
      <c r="E20" s="10" t="inlineStr">
        <is>
          <t>HENT</t>
        </is>
      </c>
      <c r="F20" s="10" t="inlineStr">
        <is>
          <t>Male</t>
        </is>
      </c>
      <c r="G20" s="10" t="inlineStr">
        <is>
          <t>Non-displaced</t>
        </is>
      </c>
      <c r="H20" s="10" t="inlineStr">
        <is>
          <t>No</t>
        </is>
      </c>
      <c r="I20" s="61" t="inlineStr">
        <is>
          <t>https://stories.chii.org/v/002</t>
        </is>
      </c>
      <c r="J20" s="10" t="inlineStr">
        <is>
          <t>2026-06-10</t>
        </is>
      </c>
      <c r="K20" s="10" t="inlineStr">
        <is>
          <t>Yes</t>
        </is>
      </c>
    </row>
    <row r="21" ht="20" customHeight="1">
      <c r="A21" s="10" t="n">
        <v>3</v>
      </c>
      <c r="B21" s="59" t="inlineStr">
        <is>
          <t>Health Worker Success Story</t>
        </is>
      </c>
      <c r="C21" s="62" t="inlineStr">
        <is>
          <t>Text</t>
        </is>
      </c>
      <c r="D21" s="10" t="inlineStr">
        <is>
          <t>Uganda</t>
        </is>
      </c>
      <c r="E21" s="10" t="inlineStr">
        <is>
          <t>HEMP</t>
        </is>
      </c>
      <c r="F21" s="10" t="inlineStr">
        <is>
          <t>Female</t>
        </is>
      </c>
      <c r="G21" s="10" t="inlineStr">
        <is>
          <t>Non-displaced</t>
        </is>
      </c>
      <c r="H21" s="10" t="inlineStr">
        <is>
          <t>No</t>
        </is>
      </c>
      <c r="I21" s="61" t="inlineStr">
        <is>
          <t>https://stories.chii.org/t/003</t>
        </is>
      </c>
      <c r="J21" s="10" t="inlineStr">
        <is>
          <t>2026-06-05</t>
        </is>
      </c>
      <c r="K21" s="10" t="inlineStr">
        <is>
          <t>No</t>
        </is>
      </c>
    </row>
    <row r="22" ht="20" customHeight="1">
      <c r="A22" s="10" t="n">
        <v>4</v>
      </c>
      <c r="B22" s="59" t="inlineStr">
        <is>
          <t>Female Founder Breaking Barriers</t>
        </is>
      </c>
      <c r="C22" s="60" t="inlineStr">
        <is>
          <t>Video</t>
        </is>
      </c>
      <c r="D22" s="10" t="inlineStr">
        <is>
          <t>Nigeria</t>
        </is>
      </c>
      <c r="E22" s="10" t="inlineStr">
        <is>
          <t>HENT</t>
        </is>
      </c>
      <c r="F22" s="10" t="inlineStr">
        <is>
          <t>Female</t>
        </is>
      </c>
      <c r="G22" s="10" t="inlineStr">
        <is>
          <t>IDP</t>
        </is>
      </c>
      <c r="H22" s="10" t="inlineStr">
        <is>
          <t>No</t>
        </is>
      </c>
      <c r="I22" s="61" t="inlineStr">
        <is>
          <t>https://stories.chii.org/v/004</t>
        </is>
      </c>
      <c r="J22" s="10" t="inlineStr">
        <is>
          <t>2026-05-28</t>
        </is>
      </c>
      <c r="K22" s="10" t="inlineStr">
        <is>
          <t>Yes</t>
        </is>
      </c>
    </row>
    <row r="23" ht="20" customHeight="1">
      <c r="A23" s="10" t="n">
        <v>5</v>
      </c>
      <c r="B23" s="59" t="inlineStr">
        <is>
          <t>Community Health Champion</t>
        </is>
      </c>
      <c r="C23" s="62" t="inlineStr">
        <is>
          <t>Text</t>
        </is>
      </c>
      <c r="D23" s="10" t="inlineStr">
        <is>
          <t>Ghana</t>
        </is>
      </c>
      <c r="E23" s="10" t="inlineStr">
        <is>
          <t>HECO</t>
        </is>
      </c>
      <c r="F23" s="10" t="inlineStr">
        <is>
          <t>Male</t>
        </is>
      </c>
      <c r="G23" s="10" t="inlineStr">
        <is>
          <t>Non-displaced</t>
        </is>
      </c>
      <c r="H23" s="10" t="inlineStr">
        <is>
          <t>Yes</t>
        </is>
      </c>
      <c r="I23" s="61" t="inlineStr">
        <is>
          <t>https://stories.chii.org/t/005</t>
        </is>
      </c>
      <c r="J23" s="10" t="inlineStr">
        <is>
          <t>2026-05-20</t>
        </is>
      </c>
      <c r="K23" s="10" t="inlineStr">
        <is>
          <t>No</t>
        </is>
      </c>
    </row>
    <row r="24" ht="20" customHeight="1">
      <c r="A24" s="10" t="n">
        <v>6</v>
      </c>
      <c r="B24" s="59" t="inlineStr">
        <is>
          <t>Youth Enterprise Creation</t>
        </is>
      </c>
      <c r="C24" s="62" t="inlineStr">
        <is>
          <t>Text</t>
        </is>
      </c>
      <c r="D24" s="10" t="inlineStr">
        <is>
          <t>South Africa</t>
        </is>
      </c>
      <c r="E24" s="10" t="inlineStr">
        <is>
          <t>HENT</t>
        </is>
      </c>
      <c r="F24" s="10" t="inlineStr">
        <is>
          <t>Male</t>
        </is>
      </c>
      <c r="G24" s="10" t="inlineStr">
        <is>
          <t>Non-displaced</t>
        </is>
      </c>
      <c r="H24" s="10" t="inlineStr">
        <is>
          <t>No</t>
        </is>
      </c>
      <c r="I24" s="61" t="inlineStr">
        <is>
          <t>https://stories.chii.org/t/006</t>
        </is>
      </c>
      <c r="J24" s="10" t="inlineStr">
        <is>
          <t>2026-05-15</t>
        </is>
      </c>
      <c r="K24" s="10" t="inlineStr">
        <is>
          <t>No</t>
        </is>
      </c>
    </row>
    <row r="25" ht="20" customHeight="1">
      <c r="A25" s="10" t="n">
        <v>7</v>
      </c>
      <c r="B25" s="59" t="inlineStr">
        <is>
          <t>Mentorship Impact Journey</t>
        </is>
      </c>
      <c r="C25" s="60" t="inlineStr">
        <is>
          <t>Video</t>
        </is>
      </c>
      <c r="D25" s="10" t="inlineStr">
        <is>
          <t>Ethiopia</t>
        </is>
      </c>
      <c r="E25" s="10" t="inlineStr">
        <is>
          <t>HEMP</t>
        </is>
      </c>
      <c r="F25" s="10" t="inlineStr">
        <is>
          <t>Female</t>
        </is>
      </c>
      <c r="G25" s="10" t="inlineStr">
        <is>
          <t>Refugee</t>
        </is>
      </c>
      <c r="H25" s="10" t="inlineStr">
        <is>
          <t>No</t>
        </is>
      </c>
      <c r="I25" s="61" t="inlineStr">
        <is>
          <t>https://stories.chii.org/v/007</t>
        </is>
      </c>
      <c r="J25" s="10" t="inlineStr">
        <is>
          <t>2026-05-10</t>
        </is>
      </c>
      <c r="K25" s="10" t="inlineStr">
        <is>
          <t>Yes</t>
        </is>
      </c>
    </row>
    <row r="26" ht="20" customHeight="1">
      <c r="A26" s="10" t="n">
        <v>8</v>
      </c>
      <c r="B26" s="59" t="inlineStr">
        <is>
          <t>Healthcare Innovation</t>
        </is>
      </c>
      <c r="C26" s="62" t="inlineStr">
        <is>
          <t>Text</t>
        </is>
      </c>
      <c r="D26" s="10" t="inlineStr">
        <is>
          <t>Zambia</t>
        </is>
      </c>
      <c r="E26" s="10" t="inlineStr">
        <is>
          <t>HEMP</t>
        </is>
      </c>
      <c r="F26" s="10" t="inlineStr">
        <is>
          <t>Male</t>
        </is>
      </c>
      <c r="G26" s="10" t="inlineStr">
        <is>
          <t>Non-displaced</t>
        </is>
      </c>
      <c r="H26" s="10" t="inlineStr">
        <is>
          <t>No</t>
        </is>
      </c>
      <c r="I26" s="61" t="inlineStr">
        <is>
          <t>https://stories.chii.org/t/008</t>
        </is>
      </c>
      <c r="J26" s="10" t="inlineStr">
        <is>
          <t>2026-05-05</t>
        </is>
      </c>
      <c r="K26" s="10" t="inlineStr">
        <is>
          <t>No</t>
        </is>
      </c>
    </row>
    <row r="27" ht="20" customHeight="1">
      <c r="A27" s="10" t="n">
        <v>9</v>
      </c>
      <c r="B27" s="59" t="inlineStr">
        <is>
          <t>Women in Tech Leadership</t>
        </is>
      </c>
      <c r="C27" s="60" t="inlineStr">
        <is>
          <t>Video</t>
        </is>
      </c>
      <c r="D27" s="10" t="inlineStr">
        <is>
          <t>Kenya</t>
        </is>
      </c>
      <c r="E27" s="10" t="inlineStr">
        <is>
          <t>HENT</t>
        </is>
      </c>
      <c r="F27" s="10" t="inlineStr">
        <is>
          <t>Female</t>
        </is>
      </c>
      <c r="G27" s="10" t="inlineStr">
        <is>
          <t>Non-displaced</t>
        </is>
      </c>
      <c r="H27" s="10" t="inlineStr">
        <is>
          <t>No</t>
        </is>
      </c>
      <c r="I27" s="61" t="inlineStr">
        <is>
          <t>https://stories.chii.org/v/009</t>
        </is>
      </c>
      <c r="J27" s="10" t="inlineStr">
        <is>
          <t>2026-04-28</t>
        </is>
      </c>
      <c r="K27" s="10" t="inlineStr">
        <is>
          <t>Yes</t>
        </is>
      </c>
    </row>
    <row r="28" ht="20" customHeight="1">
      <c r="A28" s="10" t="n">
        <v>10</v>
      </c>
      <c r="B28" s="59" t="inlineStr">
        <is>
          <t>Internship to Employment</t>
        </is>
      </c>
      <c r="C28" s="62" t="inlineStr">
        <is>
          <t>Text</t>
        </is>
      </c>
      <c r="D28" s="10" t="inlineStr">
        <is>
          <t>Rwanda</t>
        </is>
      </c>
      <c r="E28" s="10" t="inlineStr">
        <is>
          <t>HEMP</t>
        </is>
      </c>
      <c r="F28" s="10" t="inlineStr">
        <is>
          <t>Female</t>
        </is>
      </c>
      <c r="G28" s="10" t="inlineStr">
        <is>
          <t>Non-displaced</t>
        </is>
      </c>
      <c r="H28" s="10" t="inlineStr">
        <is>
          <t>No</t>
        </is>
      </c>
      <c r="I28" s="61" t="inlineStr">
        <is>
          <t>https://stories.chii.org/t/010</t>
        </is>
      </c>
      <c r="J28" s="10" t="inlineStr">
        <is>
          <t>2026-04-20</t>
        </is>
      </c>
      <c r="K28" s="10" t="inlineStr">
        <is>
          <t>No</t>
        </is>
      </c>
    </row>
    <row r="31" ht="18" customHeight="1">
      <c r="A31" s="35" t="inlineStr">
        <is>
          <t>FILTERING OPTIONS &amp; ANALYTICS</t>
        </is>
      </c>
    </row>
    <row r="32" ht="20" customHeight="1">
      <c r="A32" s="53" t="inlineStr">
        <is>
          <t>Story Type</t>
        </is>
      </c>
      <c r="B32" s="25" t="inlineStr">
        <is>
          <t>All | Video | Text</t>
        </is>
      </c>
    </row>
    <row r="33" ht="20" customHeight="1">
      <c r="A33" s="53" t="inlineStr">
        <is>
          <t>Gender</t>
        </is>
      </c>
      <c r="B33" s="25" t="inlineStr">
        <is>
          <t>All | Male | Female | Non-binary</t>
        </is>
      </c>
    </row>
    <row r="34" ht="20" customHeight="1">
      <c r="A34" s="53" t="inlineStr">
        <is>
          <t>Humanitarian Status</t>
        </is>
      </c>
      <c r="B34" s="25" t="inlineStr">
        <is>
          <t>All | Refugee | IDP | Non-displaced</t>
        </is>
      </c>
    </row>
    <row r="35" ht="20" customHeight="1">
      <c r="A35" s="53" t="inlineStr">
        <is>
          <t>Disability Status</t>
        </is>
      </c>
      <c r="B35" s="25" t="inlineStr">
        <is>
          <t>All | Yes | No</t>
        </is>
      </c>
    </row>
    <row r="38" ht="18" customHeight="1">
      <c r="A38" s="35" t="inlineStr">
        <is>
          <t>COUNTRIES REPRESENTED (29 Total)</t>
        </is>
      </c>
    </row>
    <row r="39">
      <c r="A39" s="53" t="inlineStr">
        <is>
          <t>Rwanda</t>
        </is>
      </c>
      <c r="B39" s="63" t="n">
        <v>45</v>
      </c>
      <c r="C39" s="53" t="inlineStr">
        <is>
          <t>Kenya</t>
        </is>
      </c>
      <c r="D39" s="63" t="n">
        <v>42</v>
      </c>
    </row>
    <row r="40">
      <c r="A40" s="53" t="inlineStr">
        <is>
          <t>Uganda</t>
        </is>
      </c>
      <c r="B40" s="63" t="n">
        <v>38</v>
      </c>
      <c r="C40" s="53" t="inlineStr">
        <is>
          <t>Nigeria</t>
        </is>
      </c>
      <c r="D40" s="63" t="n">
        <v>35</v>
      </c>
    </row>
    <row r="41">
      <c r="A41" s="53" t="inlineStr">
        <is>
          <t>Ghana</t>
        </is>
      </c>
      <c r="B41" s="63" t="n">
        <v>28</v>
      </c>
      <c r="C41" s="53" t="inlineStr">
        <is>
          <t>South Africa</t>
        </is>
      </c>
      <c r="D41" s="63" t="n">
        <v>25</v>
      </c>
    </row>
    <row r="42">
      <c r="A42" s="53" t="inlineStr">
        <is>
          <t>Ethiopia</t>
        </is>
      </c>
      <c r="B42" s="63" t="n">
        <v>22</v>
      </c>
      <c r="C42" s="53" t="inlineStr">
        <is>
          <t>Zambia</t>
        </is>
      </c>
      <c r="D42" s="63" t="n">
        <v>18</v>
      </c>
    </row>
    <row r="43">
      <c r="A43" s="53" t="inlineStr">
        <is>
          <t>Tanzania</t>
        </is>
      </c>
      <c r="B43" s="63" t="n">
        <v>16</v>
      </c>
      <c r="C43" s="53" t="inlineStr">
        <is>
          <t>Malawi</t>
        </is>
      </c>
      <c r="D43" s="63" t="n">
        <v>15</v>
      </c>
    </row>
    <row r="44">
      <c r="A44" s="53" t="inlineStr">
        <is>
          <t>Zimbabwe</t>
        </is>
      </c>
      <c r="B44" s="63" t="n">
        <v>12</v>
      </c>
      <c r="C44" s="53" t="inlineStr">
        <is>
          <t>Botswana</t>
        </is>
      </c>
      <c r="D44" s="63" t="n">
        <v>10</v>
      </c>
    </row>
    <row r="45">
      <c r="A45" s="53" t="inlineStr">
        <is>
          <t>Lesotho</t>
        </is>
      </c>
      <c r="B45" s="63" t="n">
        <v>8</v>
      </c>
      <c r="C45" s="53" t="inlineStr">
        <is>
          <t>Mauritius</t>
        </is>
      </c>
      <c r="D45" s="63" t="n">
        <v>7</v>
      </c>
    </row>
    <row r="46">
      <c r="A46" s="53" t="inlineStr">
        <is>
          <t>Mozambique</t>
        </is>
      </c>
      <c r="B46" s="63" t="n">
        <v>6</v>
      </c>
      <c r="C46" s="53" t="inlineStr">
        <is>
          <t>Namibia</t>
        </is>
      </c>
      <c r="D46" s="63" t="n">
        <v>5</v>
      </c>
    </row>
    <row r="47">
      <c r="A47" s="53" t="inlineStr">
        <is>
          <t>Senegal</t>
        </is>
      </c>
      <c r="B47" s="63" t="n">
        <v>4</v>
      </c>
      <c r="C47" s="53" t="inlineStr">
        <is>
          <t>Mali</t>
        </is>
      </c>
      <c r="D47" s="63" t="n">
        <v>4</v>
      </c>
    </row>
    <row r="48">
      <c r="A48" s="53" t="inlineStr">
        <is>
          <t>Burkina Faso</t>
        </is>
      </c>
      <c r="B48" s="63" t="n">
        <v>3</v>
      </c>
      <c r="C48" s="53" t="inlineStr">
        <is>
          <t>Cameroon</t>
        </is>
      </c>
      <c r="D48" s="63" t="n">
        <v>3</v>
      </c>
    </row>
    <row r="49">
      <c r="A49" s="53" t="inlineStr">
        <is>
          <t>DRC</t>
        </is>
      </c>
      <c r="B49" s="63" t="n">
        <v>3</v>
      </c>
      <c r="C49" s="53" t="inlineStr">
        <is>
          <t>Côte d'Ivoire</t>
        </is>
      </c>
      <c r="D49" s="63" t="n">
        <v>2</v>
      </c>
    </row>
    <row r="50">
      <c r="A50" s="53" t="inlineStr">
        <is>
          <t>Guinea</t>
        </is>
      </c>
      <c r="B50" s="63" t="n">
        <v>2</v>
      </c>
      <c r="C50" s="53" t="inlineStr">
        <is>
          <t>Benin</t>
        </is>
      </c>
      <c r="D50" s="63" t="n">
        <v>2</v>
      </c>
    </row>
    <row r="51">
      <c r="A51" s="53" t="inlineStr">
        <is>
          <t>Togo</t>
        </is>
      </c>
      <c r="B51" s="63" t="n">
        <v>1</v>
      </c>
      <c r="C51" s="53" t="inlineStr">
        <is>
          <t>Sierra Leone</t>
        </is>
      </c>
      <c r="D51" s="63" t="n">
        <v>1</v>
      </c>
    </row>
    <row r="52">
      <c r="A52" s="53" t="inlineStr">
        <is>
          <t>Liberia</t>
        </is>
      </c>
      <c r="B52" s="63" t="n">
        <v>1</v>
      </c>
      <c r="C52" s="53" t="inlineStr">
        <is>
          <t>Niger</t>
        </is>
      </c>
      <c r="D52" s="63" t="n">
        <v>1</v>
      </c>
    </row>
    <row r="53">
      <c r="A53" s="53" t="inlineStr">
        <is>
          <t>Chad</t>
        </is>
      </c>
      <c r="B53" s="63" t="n">
        <v>1</v>
      </c>
    </row>
    <row r="57" ht="18" customHeight="1">
      <c r="A57" s="35" t="inlineStr">
        <is>
          <t>STORY COLLECTION BREAKDOWN</t>
        </is>
      </c>
    </row>
    <row r="58">
      <c r="A58" s="64" t="inlineStr">
        <is>
          <t>Video Stories</t>
        </is>
      </c>
      <c r="B58" s="60" t="n">
        <v>15</v>
      </c>
    </row>
    <row r="59">
      <c r="A59" s="65" t="inlineStr">
        <is>
          <t>Text Stories</t>
        </is>
      </c>
      <c r="B59" s="62" t="n">
        <v>349</v>
      </c>
    </row>
    <row r="60">
      <c r="A60" s="53" t="inlineStr">
        <is>
          <t>Total Stories</t>
        </is>
      </c>
      <c r="B60" s="56" t="n">
        <v>364</v>
      </c>
    </row>
  </sheetData>
  <mergeCells count="7">
    <mergeCell ref="A4:K4"/>
    <mergeCell ref="A57:K57"/>
    <mergeCell ref="A38:K38"/>
    <mergeCell ref="A2:K2"/>
    <mergeCell ref="A1:K1"/>
    <mergeCell ref="A17:K17"/>
    <mergeCell ref="A31:K3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25" customHeight="1">
      <c r="A1" s="1" t="inlineStr">
        <is>
          <t>OUTREACH - PARTICIPATION METRICS</t>
        </is>
      </c>
    </row>
    <row r="3">
      <c r="A3" s="5" t="inlineStr">
        <is>
          <t>Participants by Programme</t>
        </is>
      </c>
    </row>
    <row r="4">
      <c r="A4" s="11" t="inlineStr">
        <is>
          <t>Programme</t>
        </is>
      </c>
      <c r="B4" s="11" t="inlineStr">
        <is>
          <t>Total Participants</t>
        </is>
      </c>
      <c r="C4" s="11" t="inlineStr">
        <is>
          <t>Female %</t>
        </is>
      </c>
    </row>
    <row r="5">
      <c r="A5" s="12" t="inlineStr">
        <is>
          <t>HEMP</t>
        </is>
      </c>
      <c r="B5" s="12" t="n">
        <v>18000</v>
      </c>
      <c r="C5" s="12" t="n">
        <v>55</v>
      </c>
    </row>
    <row r="6">
      <c r="A6" s="12" t="inlineStr">
        <is>
          <t>HENT</t>
        </is>
      </c>
      <c r="B6" s="12" t="n">
        <v>16500</v>
      </c>
      <c r="C6" s="12" t="n">
        <v>48</v>
      </c>
    </row>
    <row r="7">
      <c r="A7" s="12" t="inlineStr">
        <is>
          <t>HECO</t>
        </is>
      </c>
      <c r="B7" s="12" t="n">
        <v>10820</v>
      </c>
      <c r="C7" s="12" t="n">
        <v>45</v>
      </c>
    </row>
    <row r="11">
      <c r="A11" s="5" t="inlineStr">
        <is>
          <t>Participants by Institution</t>
        </is>
      </c>
    </row>
    <row r="12">
      <c r="A12" s="11" t="inlineStr">
        <is>
          <t>Institution</t>
        </is>
      </c>
      <c r="B12" s="11" t="inlineStr">
        <is>
          <t>Participants</t>
        </is>
      </c>
      <c r="C12" s="11" t="inlineStr">
        <is>
          <t>% of Total</t>
        </is>
      </c>
    </row>
    <row r="13">
      <c r="A13" s="12" t="inlineStr">
        <is>
          <t>ALU</t>
        </is>
      </c>
      <c r="B13" s="12" t="n">
        <v>22000</v>
      </c>
      <c r="C13" s="12">
        <f>A13/45320*100</f>
        <v/>
      </c>
    </row>
    <row r="14">
      <c r="A14" s="12" t="inlineStr">
        <is>
          <t>ALX</t>
        </is>
      </c>
      <c r="B14" s="12" t="n">
        <v>15000</v>
      </c>
      <c r="C14" s="12">
        <f>A14/45320*100</f>
        <v/>
      </c>
    </row>
    <row r="15">
      <c r="A15" s="12" t="inlineStr">
        <is>
          <t>ALCHE</t>
        </is>
      </c>
      <c r="B15" s="12" t="n">
        <v>8320</v>
      </c>
      <c r="C15" s="12">
        <f>A15/45320*100</f>
        <v/>
      </c>
    </row>
  </sheetData>
  <mergeCells count="3">
    <mergeCell ref="A3:C3"/>
    <mergeCell ref="A1:F1"/>
    <mergeCell ref="A11:C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5" customHeight="1">
      <c r="A1" s="1" t="inlineStr">
        <is>
          <t>EMPLOYMENT OUTCOMES - YOUTH IN WORK</t>
        </is>
      </c>
    </row>
    <row r="3">
      <c r="A3" s="5" t="inlineStr">
        <is>
          <t>Employment Pathway Distribution</t>
        </is>
      </c>
    </row>
    <row r="4">
      <c r="A4" s="11" t="inlineStr">
        <is>
          <t>Pathway</t>
        </is>
      </c>
      <c r="B4" s="11" t="inlineStr">
        <is>
          <t>Count</t>
        </is>
      </c>
      <c r="C4" s="11" t="inlineStr">
        <is>
          <t>% of Total</t>
        </is>
      </c>
      <c r="D4" s="11" t="inlineStr">
        <is>
          <t>Notes</t>
        </is>
      </c>
    </row>
    <row r="5">
      <c r="A5" s="13" t="inlineStr">
        <is>
          <t>Wage Employment</t>
        </is>
      </c>
      <c r="B5" s="12" t="n">
        <v>1428</v>
      </c>
      <c r="C5" s="14">
        <f>B5/2100*100</f>
        <v/>
      </c>
      <c r="D5" s="13" t="inlineStr">
        <is>
          <t>Full-time &amp; part-time roles</t>
        </is>
      </c>
    </row>
    <row r="6">
      <c r="A6" s="13" t="inlineStr">
        <is>
          <t>Enterprise/Self-employment</t>
        </is>
      </c>
      <c r="B6" s="12" t="n">
        <v>525</v>
      </c>
      <c r="C6" s="14">
        <f>B6/2100*100</f>
        <v/>
      </c>
      <c r="D6" s="13" t="inlineStr">
        <is>
          <t>Founder/co-founder</t>
        </is>
      </c>
    </row>
    <row r="7">
      <c r="A7" s="13" t="inlineStr">
        <is>
          <t>Freelance</t>
        </is>
      </c>
      <c r="B7" s="12" t="n">
        <v>98</v>
      </c>
      <c r="C7" s="14">
        <f>B7/2100*100</f>
        <v/>
      </c>
      <c r="D7" s="13" t="inlineStr">
        <is>
          <t>Contract/gig work</t>
        </is>
      </c>
    </row>
    <row r="8">
      <c r="A8" s="13" t="inlineStr">
        <is>
          <t>Internship</t>
        </is>
      </c>
      <c r="B8" s="12" t="n">
        <v>49</v>
      </c>
      <c r="C8" s="14">
        <f>B8/2100*100</f>
        <v/>
      </c>
      <c r="D8" s="13" t="inlineStr">
        <is>
          <t>Post-programme internships</t>
        </is>
      </c>
    </row>
    <row r="10">
      <c r="A10" s="5" t="inlineStr">
        <is>
          <t>Employment Quality</t>
        </is>
      </c>
    </row>
    <row r="11">
      <c r="A11" s="11" t="inlineStr">
        <is>
          <t>Metric</t>
        </is>
      </c>
      <c r="B11" s="11" t="inlineStr">
        <is>
          <t>Value</t>
        </is>
      </c>
      <c r="C11" s="11" t="inlineStr">
        <is>
          <t>Status</t>
        </is>
      </c>
      <c r="D11" s="11" t="inlineStr">
        <is>
          <t>Notes</t>
        </is>
      </c>
    </row>
    <row r="12">
      <c r="A12" s="13" t="inlineStr">
        <is>
          <t>Avg Annual Salary (USD)</t>
        </is>
      </c>
      <c r="B12" s="15" t="n">
        <v>18000</v>
      </c>
      <c r="C12" s="13" t="inlineStr">
        <is>
          <t>On Target</t>
        </is>
      </c>
      <c r="D12" s="13" t="inlineStr">
        <is>
          <t>Varies by sector</t>
        </is>
      </c>
    </row>
    <row r="13">
      <c r="A13" s="13" t="inlineStr">
        <is>
          <t>Female Employment Rate (%)</t>
        </is>
      </c>
      <c r="B13" s="16" t="n">
        <v>68</v>
      </c>
      <c r="C13" s="13" t="inlineStr">
        <is>
          <t>Above Target</t>
        </is>
      </c>
      <c r="D13" s="13" t="inlineStr">
        <is>
          <t>Strong performance</t>
        </is>
      </c>
    </row>
    <row r="14">
      <c r="A14" s="13" t="inlineStr">
        <is>
          <t>Youth Employment Rate (%)</t>
        </is>
      </c>
      <c r="B14" s="16" t="n">
        <v>65</v>
      </c>
      <c r="C14" s="13" t="inlineStr">
        <is>
          <t>On Target</t>
        </is>
      </c>
      <c r="D14" s="13" t="inlineStr">
        <is>
          <t>Youth &lt;35</t>
        </is>
      </c>
    </row>
  </sheetData>
  <mergeCells count="3">
    <mergeCell ref="A1:D1"/>
    <mergeCell ref="A3:D3"/>
    <mergeCell ref="A10:D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1" t="inlineStr">
        <is>
          <t>WAGE EMPLOYMENT - DETAILED METRICS</t>
        </is>
      </c>
    </row>
    <row r="3">
      <c r="A3" s="5" t="inlineStr">
        <is>
          <t>Employment Type Distribution</t>
        </is>
      </c>
    </row>
    <row r="4">
      <c r="A4" s="11" t="inlineStr">
        <is>
          <t>Employment Type</t>
        </is>
      </c>
      <c r="B4" s="11" t="inlineStr">
        <is>
          <t>Count</t>
        </is>
      </c>
      <c r="C4" s="11" t="inlineStr">
        <is>
          <t>% of Wage</t>
        </is>
      </c>
      <c r="D4" s="11" t="inlineStr">
        <is>
          <t>Avg Salary (USD)</t>
        </is>
      </c>
      <c r="E4" s="11" t="inlineStr">
        <is>
          <t>Notes</t>
        </is>
      </c>
    </row>
    <row r="5">
      <c r="A5" s="13" t="inlineStr">
        <is>
          <t>Full-time</t>
        </is>
      </c>
      <c r="B5" s="12" t="n">
        <v>1000</v>
      </c>
      <c r="C5" s="14">
        <f>B5/1428*100</f>
        <v/>
      </c>
      <c r="D5" s="12" t="n">
        <v>22000</v>
      </c>
      <c r="E5" s="13" t="inlineStr">
        <is>
          <t>Permanent positions</t>
        </is>
      </c>
    </row>
    <row r="6">
      <c r="A6" s="13" t="inlineStr">
        <is>
          <t>Part-time</t>
        </is>
      </c>
      <c r="B6" s="12" t="n">
        <v>320</v>
      </c>
      <c r="C6" s="14">
        <f>B6/1428*100</f>
        <v/>
      </c>
      <c r="D6" s="12" t="n">
        <v>12000</v>
      </c>
      <c r="E6" s="13" t="inlineStr">
        <is>
          <t>Flexible arrangement</t>
        </is>
      </c>
    </row>
    <row r="7">
      <c r="A7" s="13" t="inlineStr">
        <is>
          <t>Contract</t>
        </is>
      </c>
      <c r="B7" s="12" t="n">
        <v>108</v>
      </c>
      <c r="C7" s="14">
        <f>B7/1428*100</f>
        <v/>
      </c>
      <c r="D7" s="12" t="n">
        <v>16000</v>
      </c>
      <c r="E7" s="13" t="inlineStr">
        <is>
          <t>Fixed-term contracts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5" customHeight="1">
      <c r="A1" s="1" t="inlineStr">
        <is>
          <t>ENTREPRENEURSHIP - VENTURE PORTFOLIO</t>
        </is>
      </c>
    </row>
    <row r="3">
      <c r="A3" s="5" t="inlineStr">
        <is>
          <t>Venture Portfolio Overview</t>
        </is>
      </c>
    </row>
    <row r="4">
      <c r="A4" s="11" t="inlineStr">
        <is>
          <t>Stage</t>
        </is>
      </c>
      <c r="B4" s="11" t="inlineStr">
        <is>
          <t>Count</t>
        </is>
      </c>
      <c r="C4" s="11" t="inlineStr">
        <is>
          <t>Revenue Generating</t>
        </is>
      </c>
      <c r="D4" s="11" t="inlineStr">
        <is>
          <t>Avg Funding (USD)</t>
        </is>
      </c>
      <c r="E4" s="11" t="inlineStr">
        <is>
          <t>Jobs Created</t>
        </is>
      </c>
      <c r="F4" s="11" t="inlineStr">
        <is>
          <t>% Women-led</t>
        </is>
      </c>
    </row>
    <row r="5">
      <c r="A5" s="13" t="inlineStr">
        <is>
          <t>Ideation</t>
        </is>
      </c>
      <c r="B5" s="12" t="n">
        <v>12</v>
      </c>
      <c r="C5" s="12" t="n">
        <v>0</v>
      </c>
      <c r="D5" s="12" t="n">
        <v>0</v>
      </c>
      <c r="E5" s="12" t="n">
        <v>0</v>
      </c>
      <c r="F5" s="16" t="n">
        <v>42</v>
      </c>
    </row>
    <row r="6">
      <c r="A6" s="13" t="inlineStr">
        <is>
          <t>Validation</t>
        </is>
      </c>
      <c r="B6" s="12" t="n">
        <v>15</v>
      </c>
      <c r="C6" s="12" t="n">
        <v>2</v>
      </c>
      <c r="D6" s="12" t="n">
        <v>12000</v>
      </c>
      <c r="E6" s="12" t="n">
        <v>5</v>
      </c>
      <c r="F6" s="16" t="n">
        <v>47</v>
      </c>
    </row>
    <row r="7">
      <c r="A7" s="13" t="inlineStr">
        <is>
          <t>Prototype/MVP</t>
        </is>
      </c>
      <c r="B7" s="12" t="n">
        <v>18</v>
      </c>
      <c r="C7" s="12" t="n">
        <v>8</v>
      </c>
      <c r="D7" s="12" t="n">
        <v>25000</v>
      </c>
      <c r="E7" s="12" t="n">
        <v>24</v>
      </c>
      <c r="F7" s="16" t="n">
        <v>44</v>
      </c>
    </row>
    <row r="8">
      <c r="A8" s="13" t="inlineStr">
        <is>
          <t>Early Growth</t>
        </is>
      </c>
      <c r="B8" s="12" t="n">
        <v>30</v>
      </c>
      <c r="C8" s="12" t="n">
        <v>22</v>
      </c>
      <c r="D8" s="12" t="n">
        <v>52000</v>
      </c>
      <c r="E8" s="12" t="n">
        <v>180</v>
      </c>
      <c r="F8" s="16" t="n">
        <v>40</v>
      </c>
    </row>
    <row r="9">
      <c r="A9" s="13" t="inlineStr">
        <is>
          <t>Scaling</t>
        </is>
      </c>
      <c r="B9" s="12" t="n">
        <v>15</v>
      </c>
      <c r="C9" s="12" t="n">
        <v>14</v>
      </c>
      <c r="D9" s="12" t="n">
        <v>85000</v>
      </c>
      <c r="E9" s="12" t="n">
        <v>720</v>
      </c>
      <c r="F9" s="16" t="n">
        <v>35</v>
      </c>
    </row>
    <row r="10">
      <c r="A10" s="13" t="inlineStr">
        <is>
          <t>Investment/Funding</t>
        </is>
      </c>
      <c r="B10" s="12" t="n">
        <v>6</v>
      </c>
      <c r="C10" s="12" t="n">
        <v>5</v>
      </c>
      <c r="D10" s="12" t="n">
        <v>180000</v>
      </c>
      <c r="E10" s="12" t="n">
        <v>315</v>
      </c>
      <c r="F10" s="16" t="n">
        <v>33</v>
      </c>
    </row>
    <row r="12">
      <c r="A12" s="5" t="inlineStr">
        <is>
          <t>Funding &amp; Revenue Metrics</t>
        </is>
      </c>
    </row>
    <row r="13">
      <c r="A13" s="11" t="inlineStr">
        <is>
          <t>Metric</t>
        </is>
      </c>
      <c r="B13" s="11" t="inlineStr">
        <is>
          <t>Value</t>
        </is>
      </c>
      <c r="C13" s="11" t="inlineStr">
        <is>
          <t>Status</t>
        </is>
      </c>
      <c r="D13" s="11" t="inlineStr">
        <is>
          <t>Target</t>
        </is>
      </c>
      <c r="E13" s="11" t="inlineStr">
        <is>
          <t>Variance</t>
        </is>
      </c>
      <c r="F13" s="11" t="inlineStr">
        <is>
          <t>Notes</t>
        </is>
      </c>
    </row>
    <row r="14">
      <c r="A14" s="13" t="inlineStr">
        <is>
          <t>Total Funding Raised (USD M)</t>
        </is>
      </c>
      <c r="B14" s="17" t="n">
        <v>8.199999999999999</v>
      </c>
      <c r="C14" s="13" t="inlineStr">
        <is>
          <t>On Track</t>
        </is>
      </c>
      <c r="D14" s="13" t="n">
        <v>7.5</v>
      </c>
      <c r="E14" s="13">
        <f>B15-D15</f>
        <v/>
      </c>
      <c r="F14" s="13" t="inlineStr">
        <is>
          <t>Exceeded target</t>
        </is>
      </c>
    </row>
    <row r="15">
      <c r="A15" s="13" t="inlineStr">
        <is>
          <t>Total Revenue (USD M)</t>
        </is>
      </c>
      <c r="B15" s="17" t="n">
        <v>3.5</v>
      </c>
      <c r="C15" s="13" t="inlineStr">
        <is>
          <t>On Track</t>
        </is>
      </c>
      <c r="D15" s="13" t="n">
        <v>3</v>
      </c>
      <c r="E15" s="13">
        <f>B16-D16</f>
        <v/>
      </c>
      <c r="F15" s="13" t="inlineStr">
        <is>
          <t>Strong performance</t>
        </is>
      </c>
    </row>
    <row r="16">
      <c r="A16" s="13" t="inlineStr">
        <is>
          <t>% Revenue-generating Ventures</t>
        </is>
      </c>
      <c r="B16" s="16" t="n">
        <v>67</v>
      </c>
      <c r="C16" s="13" t="inlineStr">
        <is>
          <t>On Track</t>
        </is>
      </c>
      <c r="D16" s="16" t="n">
        <v>60</v>
      </c>
      <c r="E16" s="16">
        <f>B17-D17</f>
        <v/>
      </c>
      <c r="F16" s="13" t="inlineStr">
        <is>
          <t>Above 60% target</t>
        </is>
      </c>
    </row>
  </sheetData>
  <mergeCells count="3">
    <mergeCell ref="A3:F3"/>
    <mergeCell ref="A1:F1"/>
    <mergeCell ref="A12:F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1" t="inlineStr">
        <is>
          <t>FURTHER EDUCATION - LEARNING OUTCOMES</t>
        </is>
      </c>
    </row>
    <row r="3">
      <c r="A3" s="5" t="inlineStr">
        <is>
          <t>Knowledge &amp; Skill Development</t>
        </is>
      </c>
    </row>
    <row r="4">
      <c r="A4" s="11" t="inlineStr">
        <is>
          <t>Outcome Metric</t>
        </is>
      </c>
      <c r="B4" s="11" t="inlineStr">
        <is>
          <t>Baseline</t>
        </is>
      </c>
      <c r="C4" s="11" t="inlineStr">
        <is>
          <t>Post-Programme</t>
        </is>
      </c>
      <c r="D4" s="11" t="inlineStr">
        <is>
          <t>Improvement %</t>
        </is>
      </c>
      <c r="E4" s="11" t="inlineStr">
        <is>
          <t>Target</t>
        </is>
      </c>
    </row>
    <row r="5">
      <c r="A5" s="14" t="inlineStr">
        <is>
          <t>Knowledge Score (avg %)</t>
        </is>
      </c>
      <c r="B5" s="16" t="n">
        <v>58</v>
      </c>
      <c r="C5" s="16" t="n">
        <v>79</v>
      </c>
      <c r="D5" s="14">
        <f>((B5-C5)/B5)*100</f>
        <v/>
      </c>
      <c r="E5" s="16" t="n">
        <v>70</v>
      </c>
    </row>
    <row r="6">
      <c r="A6" s="14" t="inlineStr">
        <is>
          <t>Financial Literacy Confidence</t>
        </is>
      </c>
      <c r="B6" s="16" t="n">
        <v>6.2</v>
      </c>
      <c r="C6" s="16" t="n">
        <v>8.1</v>
      </c>
      <c r="D6" s="14">
        <f>((C6-B6)/B6)*100</f>
        <v/>
      </c>
      <c r="E6" s="16" t="n">
        <v>7.5</v>
      </c>
    </row>
    <row r="7">
      <c r="A7" s="14" t="inlineStr">
        <is>
          <t>Leadership Self-Assessment</t>
        </is>
      </c>
      <c r="B7" s="16" t="n">
        <v>62</v>
      </c>
      <c r="C7" s="16" t="n">
        <v>78</v>
      </c>
      <c r="D7" s="14">
        <f>((C7-B7)/B7)*100</f>
        <v/>
      </c>
      <c r="E7" s="16" t="n">
        <v>70</v>
      </c>
    </row>
    <row r="8">
      <c r="A8" s="14" t="inlineStr">
        <is>
          <t>Career Clarity Achieved (%)</t>
        </is>
      </c>
      <c r="B8" s="16" t="n">
        <v>42</v>
      </c>
      <c r="C8" s="16" t="n">
        <v>78</v>
      </c>
      <c r="D8" s="14">
        <f>C8-B8</f>
        <v/>
      </c>
      <c r="E8" s="16" t="n">
        <v>75</v>
      </c>
    </row>
    <row r="10">
      <c r="A10" s="5" t="inlineStr">
        <is>
          <t>Further Study &amp; Career Pathways</t>
        </is>
      </c>
    </row>
    <row r="11">
      <c r="A11" s="11" t="inlineStr">
        <is>
          <t>Career Pathway</t>
        </is>
      </c>
      <c r="B11" s="11" t="inlineStr">
        <is>
          <t>Participants</t>
        </is>
      </c>
      <c r="C11" s="11" t="inlineStr">
        <is>
          <t>% of Cohort</t>
        </is>
      </c>
      <c r="D11" s="11" t="inlineStr">
        <is>
          <t>Satisfaction (0-5)</t>
        </is>
      </c>
      <c r="E11" s="11" t="inlineStr">
        <is>
          <t>Notes</t>
        </is>
      </c>
    </row>
    <row r="12">
      <c r="A12" s="13" t="inlineStr">
        <is>
          <t>Employment (Wage)</t>
        </is>
      </c>
      <c r="B12" s="12" t="n">
        <v>680</v>
      </c>
      <c r="C12" s="14">
        <f>B12/850*100</f>
        <v/>
      </c>
      <c r="D12" s="18" t="n">
        <v>4.2</v>
      </c>
      <c r="E12" s="13" t="inlineStr">
        <is>
          <t>Highest satisfaction</t>
        </is>
      </c>
    </row>
    <row r="13">
      <c r="A13" s="13" t="inlineStr">
        <is>
          <t>Entrepreneurship</t>
        </is>
      </c>
      <c r="B13" s="12" t="n">
        <v>125</v>
      </c>
      <c r="C13" s="14">
        <f>B13/850*100</f>
        <v/>
      </c>
      <c r="D13" s="18" t="n">
        <v>4.5</v>
      </c>
      <c r="E13" s="13" t="inlineStr">
        <is>
          <t>Above average</t>
        </is>
      </c>
    </row>
    <row r="14">
      <c r="A14" s="13" t="inlineStr">
        <is>
          <t>Further Study</t>
        </is>
      </c>
      <c r="B14" s="12" t="n">
        <v>45</v>
      </c>
      <c r="C14" s="14">
        <f>B14/850*100</f>
        <v/>
      </c>
      <c r="D14" s="18" t="n">
        <v>4.3</v>
      </c>
      <c r="E14" s="13" t="inlineStr">
        <is>
          <t>Masters programmes</t>
        </is>
      </c>
    </row>
  </sheetData>
  <mergeCells count="3">
    <mergeCell ref="A10:E10"/>
    <mergeCell ref="A1:E1"/>
    <mergeCell ref="A3:E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1" t="inlineStr">
        <is>
          <t>IMPACT REPORTS - LONG-TERM OUTCOMES</t>
        </is>
      </c>
    </row>
    <row r="3">
      <c r="A3" s="5" t="inlineStr">
        <is>
          <t>Health System Adoption</t>
        </is>
      </c>
    </row>
    <row r="4">
      <c r="A4" s="11" t="inlineStr">
        <is>
          <t>Health Actor Type</t>
        </is>
      </c>
      <c r="B4" s="11" t="inlineStr">
        <is>
          <t>Count</t>
        </is>
      </c>
      <c r="C4" s="11" t="inlineStr">
        <is>
          <t>HENT Solutions Adopted</t>
        </is>
      </c>
      <c r="D4" s="11" t="inlineStr">
        <is>
          <t>Lives Impacted (Est.)</t>
        </is>
      </c>
      <c r="E4" s="11" t="inlineStr">
        <is>
          <t>Status</t>
        </is>
      </c>
    </row>
    <row r="5">
      <c r="A5" s="13" t="inlineStr">
        <is>
          <t>Hospitals</t>
        </is>
      </c>
      <c r="B5" s="12" t="n">
        <v>12</v>
      </c>
      <c r="C5" s="12" t="n">
        <v>10</v>
      </c>
      <c r="D5" s="12" t="n">
        <v>48000</v>
      </c>
      <c r="E5" s="13" t="inlineStr">
        <is>
          <t>Active</t>
        </is>
      </c>
    </row>
    <row r="6">
      <c r="A6" s="13" t="inlineStr">
        <is>
          <t>Community Health Centers</t>
        </is>
      </c>
      <c r="B6" s="12" t="n">
        <v>35</v>
      </c>
      <c r="C6" s="12" t="n">
        <v>28</v>
      </c>
      <c r="D6" s="12" t="n">
        <v>156000</v>
      </c>
      <c r="E6" s="13" t="inlineStr">
        <is>
          <t>Active</t>
        </is>
      </c>
    </row>
    <row r="7">
      <c r="A7" s="13" t="inlineStr">
        <is>
          <t>Clinics/Health Posts</t>
        </is>
      </c>
      <c r="B7" s="12" t="n">
        <v>54</v>
      </c>
      <c r="C7" s="12" t="n">
        <v>42</v>
      </c>
      <c r="D7" s="12" t="n">
        <v>84000</v>
      </c>
      <c r="E7" s="13" t="inlineStr">
        <is>
          <t>Active</t>
        </is>
      </c>
    </row>
    <row r="9">
      <c r="A9" s="5" t="inlineStr">
        <is>
          <t>Research &amp; Policy Influence</t>
        </is>
      </c>
    </row>
    <row r="10">
      <c r="A10" s="11" t="inlineStr">
        <is>
          <t>Output Type</t>
        </is>
      </c>
      <c r="B10" s="11" t="inlineStr">
        <is>
          <t>Count</t>
        </is>
      </c>
      <c r="C10" s="11" t="inlineStr">
        <is>
          <t>Year</t>
        </is>
      </c>
      <c r="D10" s="11" t="inlineStr">
        <is>
          <t>Policy Influence</t>
        </is>
      </c>
      <c r="E10" s="11" t="inlineStr">
        <is>
          <t>Notes</t>
        </is>
      </c>
    </row>
    <row r="11">
      <c r="A11" s="13" t="inlineStr">
        <is>
          <t>Publications</t>
        </is>
      </c>
      <c r="B11" s="12" t="n">
        <v>12</v>
      </c>
      <c r="C11" s="13" t="n">
        <v>2026</v>
      </c>
      <c r="D11" s="13" t="inlineStr">
        <is>
          <t>Yes</t>
        </is>
      </c>
      <c r="E11" s="13" t="inlineStr">
        <is>
          <t>Peer-reviewed &amp; media</t>
        </is>
      </c>
    </row>
    <row r="12">
      <c r="A12" s="13" t="inlineStr">
        <is>
          <t>Policy Briefs</t>
        </is>
      </c>
      <c r="B12" s="12" t="n">
        <v>5</v>
      </c>
      <c r="C12" s="13" t="n">
        <v>2026</v>
      </c>
      <c r="D12" s="13" t="inlineStr">
        <is>
          <t>Yes</t>
        </is>
      </c>
      <c r="E12" s="13" t="inlineStr">
        <is>
          <t>Government adoption</t>
        </is>
      </c>
    </row>
    <row r="13">
      <c r="A13" s="13" t="inlineStr">
        <is>
          <t>Research Partnerships</t>
        </is>
      </c>
      <c r="B13" s="12" t="n">
        <v>12</v>
      </c>
      <c r="C13" s="13" t="n">
        <v>2026</v>
      </c>
      <c r="D13" s="13" t="inlineStr">
        <is>
          <t>Yes</t>
        </is>
      </c>
      <c r="E13" s="13" t="inlineStr">
        <is>
          <t>Active collaborations</t>
        </is>
      </c>
    </row>
  </sheetData>
  <mergeCells count="3">
    <mergeCell ref="A1:E1"/>
    <mergeCell ref="A9:E9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2026-09-18T14:49:25Z</dcterms:created>
  <dcterms:modified xsi:type="dcterms:W3CDTF">2026-09-18T16:30:11Z</dcterms:modified>
</cp:coreProperties>
</file>
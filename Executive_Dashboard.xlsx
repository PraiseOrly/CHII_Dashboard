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t a Glance" sheetId="2" state="visible" r:id="rId2"/>
    <sheet name="Outreach" sheetId="3" state="visible" r:id="rId3"/>
    <sheet name="Youth in Work" sheetId="4" state="visible" r:id="rId4"/>
    <sheet name="Wage Employment" sheetId="5" state="visible" r:id="rId5"/>
    <sheet name="Entrepreneurship" sheetId="6" state="visible" r:id="rId6"/>
    <sheet name="Further Education" sheetId="7" state="visible" r:id="rId7"/>
    <sheet name="Impact Reports" sheetId="8" state="visible" r:id="rId8"/>
    <sheet name="Impact Stor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$#,##0"/>
    <numFmt numFmtId="167" formatCode="$#,##0.0"/>
    <numFmt numFmtId="168" formatCode="0.0&quot;%&quot;"/>
    <numFmt numFmtId="169" formatCode="0&quot;%&quot;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0"/>
    </font>
    <font>
      <b val="1"/>
      <sz val="12"/>
    </font>
    <font>
      <b val="1"/>
      <sz val="9"/>
    </font>
    <font>
      <b val="1"/>
      <color rgb="00102C5E"/>
      <sz val="9"/>
    </font>
    <font>
      <b val="1"/>
      <sz val="8"/>
    </font>
    <font>
      <i val="1"/>
      <color rgb="00666666"/>
      <sz val="9"/>
    </font>
    <font>
      <b val="1"/>
      <color rgb="00FFFFFF"/>
      <sz val="11"/>
    </font>
    <font>
      <b val="1"/>
      <color rgb="00102C5E"/>
      <sz val="8"/>
    </font>
    <font>
      <b val="1"/>
      <sz val="7"/>
    </font>
    <font>
      <b val="1"/>
      <color rgb="00102C5E"/>
      <sz val="11"/>
    </font>
  </fonts>
  <fills count="7">
    <fill>
      <patternFill/>
    </fill>
    <fill>
      <patternFill patternType="gray125"/>
    </fill>
    <fill>
      <patternFill patternType="solid">
        <fgColor rgb="00102C5E"/>
        <bgColor rgb="00102C5E"/>
      </patternFill>
    </fill>
    <fill>
      <patternFill patternType="solid">
        <fgColor rgb="0014306B"/>
        <bgColor rgb="0014306B"/>
      </patternFill>
    </fill>
    <fill>
      <patternFill patternType="solid">
        <fgColor rgb="00D9E1F2"/>
        <bgColor rgb="00D9E1F2"/>
      </patternFill>
    </fill>
    <fill>
      <patternFill patternType="solid">
        <fgColor rgb="00E7F0FF"/>
        <bgColor rgb="00E7F0FF"/>
      </patternFill>
    </fill>
    <fill>
      <patternFill patternType="solid">
        <fgColor rgb="00F0F0F0"/>
        <bgColor rgb="00F0F0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4" borderId="0" pivotButton="0" quotePrefix="0" xfId="0"/>
    <xf numFmtId="3" fontId="0" fillId="0" borderId="0" pivotButton="0" quotePrefix="0" xfId="0"/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  <xf numFmtId="168" fontId="0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7" fontId="0" fillId="0" borderId="1" applyAlignment="1" pivotButton="0" quotePrefix="0" xfId="0">
      <alignment horizontal="center"/>
    </xf>
    <xf numFmtId="0" fontId="3" fillId="4" borderId="1" pivotButton="0" quotePrefix="0" xfId="0"/>
    <xf numFmtId="0" fontId="0" fillId="0" borderId="1" applyAlignment="1" pivotButton="0" quotePrefix="0" xfId="0">
      <alignment horizontal="left" wrapText="1"/>
    </xf>
    <xf numFmtId="169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5" fillId="4" borderId="1" pivotButton="0" quotePrefix="0" xfId="0"/>
    <xf numFmtId="0" fontId="6" fillId="5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left" wrapText="1"/>
    </xf>
    <xf numFmtId="0" fontId="8" fillId="0" borderId="0" pivotButton="0" quotePrefix="0" xfId="0"/>
    <xf numFmtId="0" fontId="9" fillId="3" borderId="0" pivotButton="0" quotePrefix="0" xfId="0"/>
    <xf numFmtId="0" fontId="7" fillId="4" borderId="1" pivotButton="0" quotePrefix="0" xfId="0"/>
    <xf numFmtId="0" fontId="10" fillId="5" borderId="1" applyAlignment="1" pivotButton="0" quotePrefix="0" xfId="0">
      <alignment horizontal="center"/>
    </xf>
    <xf numFmtId="0" fontId="11" fillId="6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pivotButton="0" quotePrefix="0" xfId="0"/>
    <xf numFmtId="0" fontId="1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5" customHeight="1">
      <c r="A1" s="1" t="inlineStr">
        <is>
          <t>EXECUTIVE DASHBOARD - USER GUIDE</t>
        </is>
      </c>
    </row>
    <row r="3">
      <c r="A3" s="2" t="inlineStr">
        <is>
          <t>Dashboard Overview</t>
        </is>
      </c>
    </row>
    <row r="4">
      <c r="A4" s="3" t="inlineStr">
        <is>
          <t>This workbook provides a comprehensive Executive Dashboard for the CHII programme with 8 key sections:</t>
        </is>
      </c>
    </row>
    <row r="5">
      <c r="A5" s="3" t="inlineStr">
        <is>
          <t>1. At a Glance - High-level KPIs and programme summary</t>
        </is>
      </c>
    </row>
    <row r="6">
      <c r="A6" s="3" t="inlineStr">
        <is>
          <t>2. Outreach - Participation metrics by programme and institution</t>
        </is>
      </c>
    </row>
    <row r="7">
      <c r="A7" s="3" t="inlineStr">
        <is>
          <t>3. Youth in Work - Employment outcomes and pathways</t>
        </is>
      </c>
    </row>
    <row r="8">
      <c r="A8" s="3" t="inlineStr">
        <is>
          <t>4. Wage Employment - Detailed employment quality metrics</t>
        </is>
      </c>
    </row>
    <row r="9">
      <c r="A9" s="3" t="inlineStr">
        <is>
          <t>5. Entrepreneurship - Venture portfolio overview and funding</t>
        </is>
      </c>
    </row>
    <row r="10">
      <c r="A10" s="3" t="inlineStr">
        <is>
          <t>6. Further Education - Knowledge gains and career outcomes</t>
        </is>
      </c>
    </row>
    <row r="11">
      <c r="A11" s="3" t="inlineStr">
        <is>
          <t>7. Impact Reports - Long-term impact and policy influence</t>
        </is>
      </c>
    </row>
    <row r="12">
      <c r="A12" s="3" t="inlineStr">
        <is>
          <t>8. Impact Stories - Qualitative case studies and narratives</t>
        </is>
      </c>
    </row>
    <row r="14">
      <c r="A14" s="2" t="inlineStr">
        <is>
          <t>How to Use This Dashboard</t>
        </is>
      </c>
    </row>
    <row r="15">
      <c r="A15" s="3" t="inlineStr">
        <is>
          <t>1. Each sheet represents one dashboard section</t>
        </is>
      </c>
    </row>
    <row r="16">
      <c r="A16" s="3" t="inlineStr">
        <is>
          <t>2. Update data regularly (weekly for real-time metrics, monthly for full refresh)</t>
        </is>
      </c>
    </row>
    <row r="17">
      <c r="A17" s="3" t="inlineStr">
        <is>
          <t>3. All metrics feed from the Consolidated_MELA_Workbook data entry system</t>
        </is>
      </c>
    </row>
    <row r="18">
      <c r="A18" s="3" t="inlineStr">
        <is>
          <t>4. Use the 'At a Glance' sheet for executive summaries</t>
        </is>
      </c>
    </row>
    <row r="19">
      <c r="A19" s="3" t="inlineStr">
        <is>
          <t>5. Drill down into specific sections for detailed analysis</t>
        </is>
      </c>
    </row>
    <row r="21">
      <c r="A21" s="2" t="inlineStr">
        <is>
          <t>Data Sources</t>
        </is>
      </c>
    </row>
    <row r="22">
      <c r="A22" t="inlineStr">
        <is>
          <t>This dashboard pulls data from:</t>
        </is>
      </c>
    </row>
    <row r="23">
      <c r="A23" t="inlineStr">
        <is>
          <t>- Consolidated_MELA_Workbook.xlsx (data entry system)</t>
        </is>
      </c>
    </row>
    <row r="24">
      <c r="A24" t="inlineStr">
        <is>
          <t>- All 15 data collection sheets feed into dashboard metrics</t>
        </is>
      </c>
    </row>
    <row r="25">
      <c r="A25" t="inlineStr">
        <is>
          <t>- Monthly updates recommended for accuracy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  <col width="20" customWidth="1" min="23" max="23"/>
  </cols>
  <sheetData>
    <row r="1" ht="25" customHeight="1">
      <c r="A1" s="4" t="inlineStr">
        <is>
          <t>CHII EXECUTIVE DASHBOARD - AT A GLANCE</t>
        </is>
      </c>
    </row>
    <row r="2">
      <c r="A2" s="34" t="inlineStr">
        <is>
          <t>Quarterly Trends (2022-2026) | Data Source: CHII MELA Consolidated Database</t>
        </is>
      </c>
    </row>
    <row r="3" ht="18" customHeight="1">
      <c r="A3" s="35" t="inlineStr">
        <is>
          <t>OUTREACH &amp; ACCESS METRICS</t>
        </is>
      </c>
    </row>
    <row r="4">
      <c r="A4" s="36" t="inlineStr">
        <is>
          <t>Metric</t>
        </is>
      </c>
      <c r="B4" s="37" t="inlineStr">
        <is>
          <t>2022</t>
        </is>
      </c>
      <c r="C4" s="30" t="n"/>
      <c r="D4" s="30" t="n"/>
      <c r="E4" s="31" t="n"/>
      <c r="F4" s="37" t="inlineStr">
        <is>
          <t>2023</t>
        </is>
      </c>
      <c r="G4" s="30" t="n"/>
      <c r="H4" s="30" t="n"/>
      <c r="I4" s="31" t="n"/>
      <c r="J4" s="37" t="inlineStr">
        <is>
          <t>2024</t>
        </is>
      </c>
      <c r="K4" s="30" t="n"/>
      <c r="L4" s="30" t="n"/>
      <c r="M4" s="31" t="n"/>
      <c r="N4" s="37" t="inlineStr">
        <is>
          <t>2025</t>
        </is>
      </c>
      <c r="O4" s="30" t="n"/>
      <c r="P4" s="30" t="n"/>
      <c r="Q4" s="31" t="n"/>
      <c r="R4" s="37" t="inlineStr">
        <is>
          <t>2026</t>
        </is>
      </c>
      <c r="S4" s="30" t="n"/>
      <c r="T4" s="30" t="n"/>
      <c r="U4" s="31" t="n"/>
      <c r="V4" s="36" t="inlineStr">
        <is>
          <t>2026 YoY %</t>
        </is>
      </c>
      <c r="W4" s="36" t="inlineStr">
        <is>
          <t>Notes</t>
        </is>
      </c>
    </row>
    <row r="5" ht="16" customHeight="1">
      <c r="A5" t="inlineStr"/>
      <c r="B5" s="38" t="inlineStr">
        <is>
          <t>Q1</t>
        </is>
      </c>
      <c r="C5" s="38" t="inlineStr">
        <is>
          <t>Q2</t>
        </is>
      </c>
      <c r="D5" s="38" t="inlineStr">
        <is>
          <t>Q3</t>
        </is>
      </c>
      <c r="E5" s="38" t="inlineStr">
        <is>
          <t>Q4</t>
        </is>
      </c>
      <c r="F5" s="38" t="inlineStr">
        <is>
          <t>Q1</t>
        </is>
      </c>
      <c r="G5" s="38" t="inlineStr">
        <is>
          <t>Q2</t>
        </is>
      </c>
      <c r="H5" s="38" t="inlineStr">
        <is>
          <t>Q3</t>
        </is>
      </c>
      <c r="I5" s="38" t="inlineStr">
        <is>
          <t>Q4</t>
        </is>
      </c>
      <c r="J5" s="38" t="inlineStr">
        <is>
          <t>Q1</t>
        </is>
      </c>
      <c r="K5" s="38" t="inlineStr">
        <is>
          <t>Q2</t>
        </is>
      </c>
      <c r="L5" s="38" t="inlineStr">
        <is>
          <t>Q3</t>
        </is>
      </c>
      <c r="M5" s="38" t="inlineStr">
        <is>
          <t>Q4</t>
        </is>
      </c>
      <c r="N5" s="38" t="inlineStr">
        <is>
          <t>Q1</t>
        </is>
      </c>
      <c r="O5" s="38" t="inlineStr">
        <is>
          <t>Q2</t>
        </is>
      </c>
      <c r="P5" s="38" t="inlineStr">
        <is>
          <t>Q3</t>
        </is>
      </c>
      <c r="Q5" s="38" t="inlineStr">
        <is>
          <t>Q4</t>
        </is>
      </c>
      <c r="R5" s="38" t="inlineStr">
        <is>
          <t>Q1</t>
        </is>
      </c>
      <c r="S5" s="38" t="inlineStr">
        <is>
          <t>Q2</t>
        </is>
      </c>
      <c r="T5" s="38" t="inlineStr">
        <is>
          <t>Q3</t>
        </is>
      </c>
      <c r="U5" s="38" t="inlineStr">
        <is>
          <t>Q4</t>
        </is>
      </c>
    </row>
    <row r="6" ht="22" customHeight="1">
      <c r="A6" s="33" t="inlineStr">
        <is>
          <t>Total Beneficiaries</t>
        </is>
      </c>
      <c r="B6" s="8" t="n">
        <v>180</v>
      </c>
      <c r="C6" s="8" t="n">
        <v>320</v>
      </c>
      <c r="D6" s="8" t="n">
        <v>520</v>
      </c>
      <c r="E6" s="8" t="n">
        <v>720</v>
      </c>
      <c r="F6" s="8" t="n">
        <v>850</v>
      </c>
      <c r="G6" s="8" t="n">
        <v>980</v>
      </c>
      <c r="H6" s="8" t="n">
        <v>1050</v>
      </c>
      <c r="I6" s="8" t="n">
        <v>1100</v>
      </c>
      <c r="J6" s="8" t="n">
        <v>1150</v>
      </c>
      <c r="K6" s="8" t="n">
        <v>1200</v>
      </c>
      <c r="L6" s="8" t="n">
        <v>1240</v>
      </c>
      <c r="M6" s="8" t="n">
        <v>1280</v>
      </c>
      <c r="N6" s="8" t="n">
        <v>1280</v>
      </c>
      <c r="O6" s="8" t="n">
        <v>1280</v>
      </c>
      <c r="P6" s="8" t="n">
        <v>1280</v>
      </c>
      <c r="Q6" s="8" t="n">
        <v>1280</v>
      </c>
      <c r="R6" s="8" t="n">
        <v>1280</v>
      </c>
      <c r="S6" s="8" t="n">
        <v>1280</v>
      </c>
      <c r="T6" s="8" t="n">
        <v>1280</v>
      </c>
      <c r="U6" s="8" t="n">
        <v>1280</v>
      </c>
      <c r="V6" s="10" t="inlineStr">
        <is>
          <t>0%</t>
        </is>
      </c>
      <c r="W6" s="25" t="inlineStr">
        <is>
          <t>Total across HEMP, HENT, HECO</t>
        </is>
      </c>
    </row>
    <row r="7" ht="22" customHeight="1">
      <c r="A7" s="33" t="inlineStr">
        <is>
          <t>Currently Enrolled</t>
        </is>
      </c>
      <c r="B7" s="8" t="n">
        <v>28</v>
      </c>
      <c r="C7" s="8" t="n">
        <v>52</v>
      </c>
      <c r="D7" s="8" t="n">
        <v>88</v>
      </c>
      <c r="E7" s="8" t="n">
        <v>128</v>
      </c>
      <c r="F7" s="8" t="n">
        <v>160</v>
      </c>
      <c r="G7" s="8" t="n">
        <v>185</v>
      </c>
      <c r="H7" s="8" t="n">
        <v>205</v>
      </c>
      <c r="I7" s="8" t="n">
        <v>225</v>
      </c>
      <c r="J7" s="8" t="n">
        <v>245</v>
      </c>
      <c r="K7" s="8" t="n">
        <v>260</v>
      </c>
      <c r="L7" s="8" t="n">
        <v>275</v>
      </c>
      <c r="M7" s="8" t="n">
        <v>288</v>
      </c>
      <c r="N7" s="8" t="n">
        <v>288</v>
      </c>
      <c r="O7" s="8" t="n">
        <v>288</v>
      </c>
      <c r="P7" s="8" t="n">
        <v>288</v>
      </c>
      <c r="Q7" s="8" t="n">
        <v>288</v>
      </c>
      <c r="R7" s="8" t="n">
        <v>288</v>
      </c>
      <c r="S7" s="8" t="n">
        <v>288</v>
      </c>
      <c r="T7" s="8" t="n">
        <v>288</v>
      </c>
      <c r="U7" s="8" t="n">
        <v>288</v>
      </c>
      <c r="V7" s="10" t="inlineStr">
        <is>
          <t>0%</t>
        </is>
      </c>
      <c r="W7" s="25" t="inlineStr">
        <is>
          <t>Active programme participants</t>
        </is>
      </c>
    </row>
    <row r="8" ht="22" customHeight="1">
      <c r="A8" s="33" t="inlineStr">
        <is>
          <t>Graduates</t>
        </is>
      </c>
      <c r="B8" s="8" t="n">
        <v>25</v>
      </c>
      <c r="C8" s="8" t="n">
        <v>58</v>
      </c>
      <c r="D8" s="8" t="n">
        <v>95</v>
      </c>
      <c r="E8" s="8" t="n">
        <v>145</v>
      </c>
      <c r="F8" s="8" t="n">
        <v>215</v>
      </c>
      <c r="G8" s="8" t="n">
        <v>310</v>
      </c>
      <c r="H8" s="8" t="n">
        <v>420</v>
      </c>
      <c r="I8" s="8" t="n">
        <v>520</v>
      </c>
      <c r="J8" s="8" t="n">
        <v>620</v>
      </c>
      <c r="K8" s="8" t="n">
        <v>680</v>
      </c>
      <c r="L8" s="8" t="n">
        <v>730</v>
      </c>
      <c r="M8" s="8" t="n">
        <v>793</v>
      </c>
      <c r="N8" s="8" t="n">
        <v>793</v>
      </c>
      <c r="O8" s="8" t="n">
        <v>793</v>
      </c>
      <c r="P8" s="8" t="n">
        <v>793</v>
      </c>
      <c r="Q8" s="8" t="n">
        <v>793</v>
      </c>
      <c r="R8" s="8" t="n">
        <v>793</v>
      </c>
      <c r="S8" s="8" t="n">
        <v>793</v>
      </c>
      <c r="T8" s="8" t="n">
        <v>793</v>
      </c>
      <c r="U8" s="8" t="n">
        <v>793</v>
      </c>
      <c r="V8" s="10" t="inlineStr">
        <is>
          <t>0%</t>
        </is>
      </c>
      <c r="W8" s="25" t="inlineStr">
        <is>
          <t>Programme completers</t>
        </is>
      </c>
    </row>
    <row r="9" ht="22" customHeight="1">
      <c r="A9" s="33" t="inlineStr">
        <is>
          <t>Youth with Disability</t>
        </is>
      </c>
      <c r="B9" s="8" t="n">
        <v>4</v>
      </c>
      <c r="C9" s="8" t="n">
        <v>8</v>
      </c>
      <c r="D9" s="8" t="n">
        <v>12</v>
      </c>
      <c r="E9" s="8" t="n">
        <v>18</v>
      </c>
      <c r="F9" s="8" t="n">
        <v>25</v>
      </c>
      <c r="G9" s="8" t="n">
        <v>32</v>
      </c>
      <c r="H9" s="8" t="n">
        <v>38</v>
      </c>
      <c r="I9" s="8" t="n">
        <v>45</v>
      </c>
      <c r="J9" s="8" t="n">
        <v>52</v>
      </c>
      <c r="K9" s="8" t="n">
        <v>58</v>
      </c>
      <c r="L9" s="8" t="n">
        <v>63</v>
      </c>
      <c r="M9" s="8" t="n">
        <v>69</v>
      </c>
      <c r="N9" s="8" t="n">
        <v>69</v>
      </c>
      <c r="O9" s="8" t="n">
        <v>69</v>
      </c>
      <c r="P9" s="8" t="n">
        <v>69</v>
      </c>
      <c r="Q9" s="8" t="n">
        <v>69</v>
      </c>
      <c r="R9" s="8" t="n">
        <v>69</v>
      </c>
      <c r="S9" s="8" t="n">
        <v>69</v>
      </c>
      <c r="T9" s="8" t="n">
        <v>69</v>
      </c>
      <c r="U9" s="8" t="n">
        <v>69</v>
      </c>
      <c r="V9" s="10" t="inlineStr">
        <is>
          <t>0%</t>
        </is>
      </c>
      <c r="W9" s="25" t="inlineStr">
        <is>
          <t>PWD participants</t>
        </is>
      </c>
    </row>
    <row r="10" ht="22" customHeight="1">
      <c r="A10" s="33" t="inlineStr">
        <is>
          <t>Refugee / IDP</t>
        </is>
      </c>
      <c r="B10" s="8" t="n">
        <v>8</v>
      </c>
      <c r="C10" s="8" t="n">
        <v>15</v>
      </c>
      <c r="D10" s="8" t="n">
        <v>25</v>
      </c>
      <c r="E10" s="8" t="n">
        <v>35</v>
      </c>
      <c r="F10" s="8" t="n">
        <v>50</v>
      </c>
      <c r="G10" s="8" t="n">
        <v>68</v>
      </c>
      <c r="H10" s="8" t="n">
        <v>85</v>
      </c>
      <c r="I10" s="8" t="n">
        <v>105</v>
      </c>
      <c r="J10" s="8" t="n">
        <v>120</v>
      </c>
      <c r="K10" s="8" t="n">
        <v>128</v>
      </c>
      <c r="L10" s="8" t="n">
        <v>135</v>
      </c>
      <c r="M10" s="8" t="n">
        <v>139</v>
      </c>
      <c r="N10" s="8" t="n">
        <v>139</v>
      </c>
      <c r="O10" s="8" t="n">
        <v>139</v>
      </c>
      <c r="P10" s="8" t="n">
        <v>139</v>
      </c>
      <c r="Q10" s="8" t="n">
        <v>139</v>
      </c>
      <c r="R10" s="8" t="n">
        <v>139</v>
      </c>
      <c r="S10" s="8" t="n">
        <v>139</v>
      </c>
      <c r="T10" s="8" t="n">
        <v>139</v>
      </c>
      <c r="U10" s="8" t="n">
        <v>139</v>
      </c>
      <c r="V10" s="10" t="inlineStr">
        <is>
          <t>0%</t>
        </is>
      </c>
      <c r="W10" s="25" t="inlineStr">
        <is>
          <t>Displaced population support</t>
        </is>
      </c>
    </row>
    <row r="11" ht="22" customHeight="1">
      <c r="A11" s="33" t="inlineStr">
        <is>
          <t>MCF Scholars</t>
        </is>
      </c>
      <c r="B11" s="8" t="n">
        <v>30</v>
      </c>
      <c r="C11" s="8" t="n">
        <v>65</v>
      </c>
      <c r="D11" s="8" t="n">
        <v>120</v>
      </c>
      <c r="E11" s="8" t="n">
        <v>180</v>
      </c>
      <c r="F11" s="8" t="n">
        <v>280</v>
      </c>
      <c r="G11" s="8" t="n">
        <v>350</v>
      </c>
      <c r="H11" s="8" t="n">
        <v>420</v>
      </c>
      <c r="I11" s="8" t="n">
        <v>480</v>
      </c>
      <c r="J11" s="8" t="n">
        <v>520</v>
      </c>
      <c r="K11" s="8" t="n">
        <v>535</v>
      </c>
      <c r="L11" s="8" t="n">
        <v>544</v>
      </c>
      <c r="M11" s="8" t="n">
        <v>552</v>
      </c>
      <c r="N11" s="8" t="n">
        <v>552</v>
      </c>
      <c r="O11" s="8" t="n">
        <v>552</v>
      </c>
      <c r="P11" s="8" t="n">
        <v>552</v>
      </c>
      <c r="Q11" s="8" t="n">
        <v>552</v>
      </c>
      <c r="R11" s="8" t="n">
        <v>552</v>
      </c>
      <c r="S11" s="8" t="n">
        <v>552</v>
      </c>
      <c r="T11" s="8" t="n">
        <v>552</v>
      </c>
      <c r="U11" s="8" t="n">
        <v>552</v>
      </c>
      <c r="V11" s="10" t="inlineStr">
        <is>
          <t>0%</t>
        </is>
      </c>
      <c r="W11" s="25" t="inlineStr">
        <is>
          <t>Mastercard Foundation scholars</t>
        </is>
      </c>
    </row>
    <row r="12" ht="22" customHeight="1">
      <c r="A12" s="33" t="inlineStr">
        <is>
          <t>CSAT Score (0-5)</t>
        </is>
      </c>
      <c r="B12" s="9" t="n">
        <v>3.2</v>
      </c>
      <c r="C12" s="9" t="n">
        <v>3.4</v>
      </c>
      <c r="D12" s="9" t="n">
        <v>3.6</v>
      </c>
      <c r="E12" s="9" t="n">
        <v>3.8</v>
      </c>
      <c r="F12" s="9" t="n">
        <v>3.9</v>
      </c>
      <c r="G12" s="9" t="n">
        <v>4</v>
      </c>
      <c r="H12" s="9" t="n">
        <v>4.1</v>
      </c>
      <c r="I12" s="9" t="n">
        <v>4.1</v>
      </c>
      <c r="J12" s="9" t="n">
        <v>4.1</v>
      </c>
      <c r="K12" s="9" t="n">
        <v>4.1</v>
      </c>
      <c r="L12" s="9" t="n">
        <v>4.2</v>
      </c>
      <c r="M12" s="9" t="n">
        <v>4.2</v>
      </c>
      <c r="N12" s="9" t="n">
        <v>4.2</v>
      </c>
      <c r="O12" s="9" t="n">
        <v>4.2</v>
      </c>
      <c r="P12" s="9" t="n">
        <v>4.2</v>
      </c>
      <c r="Q12" s="9" t="n">
        <v>4.2</v>
      </c>
      <c r="R12" s="9" t="n">
        <v>4.2</v>
      </c>
      <c r="S12" s="9" t="n">
        <v>4.2</v>
      </c>
      <c r="T12" s="9" t="n">
        <v>4.2</v>
      </c>
      <c r="U12" s="9" t="n">
        <v>4.2</v>
      </c>
      <c r="V12" s="10" t="inlineStr">
        <is>
          <t>0%</t>
        </is>
      </c>
      <c r="W12" s="25" t="inlineStr">
        <is>
          <t>Customer satisfaction (n=240)</t>
        </is>
      </c>
    </row>
    <row r="13" ht="22" customHeight="1">
      <c r="A13" s="33" t="inlineStr">
        <is>
          <t>Employer Rating (0-5)</t>
        </is>
      </c>
      <c r="B13" s="9" t="n">
        <v>3.8</v>
      </c>
      <c r="C13" s="9" t="n">
        <v>4</v>
      </c>
      <c r="D13" s="9" t="n">
        <v>4.2</v>
      </c>
      <c r="E13" s="9" t="n">
        <v>4.3</v>
      </c>
      <c r="F13" s="9" t="n">
        <v>4.3</v>
      </c>
      <c r="G13" s="9" t="n">
        <v>4.4</v>
      </c>
      <c r="H13" s="9" t="n">
        <v>4.5</v>
      </c>
      <c r="I13" s="9" t="n">
        <v>4.5</v>
      </c>
      <c r="J13" s="9" t="n">
        <v>4.5</v>
      </c>
      <c r="K13" s="9" t="n">
        <v>4.5</v>
      </c>
      <c r="L13" s="9" t="n">
        <v>4.6</v>
      </c>
      <c r="M13" s="9" t="n">
        <v>4.6</v>
      </c>
      <c r="N13" s="9" t="n">
        <v>4.6</v>
      </c>
      <c r="O13" s="9" t="n">
        <v>4.6</v>
      </c>
      <c r="P13" s="9" t="n">
        <v>4.6</v>
      </c>
      <c r="Q13" s="9" t="n">
        <v>4.6</v>
      </c>
      <c r="R13" s="9" t="n">
        <v>4.6</v>
      </c>
      <c r="S13" s="9" t="n">
        <v>4.6</v>
      </c>
      <c r="T13" s="9" t="n">
        <v>4.6</v>
      </c>
      <c r="U13" s="9" t="n">
        <v>4.6</v>
      </c>
      <c r="V13" s="10" t="inlineStr">
        <is>
          <t>0%</t>
        </is>
      </c>
      <c r="W13" s="25" t="inlineStr">
        <is>
          <t>Employer feedback (n=156)</t>
        </is>
      </c>
    </row>
    <row r="14" ht="18" customHeight="1">
      <c r="A14" s="35" t="inlineStr">
        <is>
          <t>PROGRAM OUTCOMES - YOUTH IN WORK &amp; EMPLOYMENT</t>
        </is>
      </c>
    </row>
    <row r="15" ht="22" customHeight="1">
      <c r="A15" s="39" t="inlineStr">
        <is>
          <t>Youth in Work (Total)</t>
        </is>
      </c>
      <c r="B15" s="8" t="n">
        <v>12</v>
      </c>
      <c r="C15" s="8" t="n">
        <v>24</v>
      </c>
      <c r="D15" s="8" t="n">
        <v>38</v>
      </c>
      <c r="E15" s="8" t="n">
        <v>52</v>
      </c>
      <c r="F15" s="8" t="n">
        <v>68</v>
      </c>
      <c r="G15" s="8" t="n">
        <v>85</v>
      </c>
      <c r="H15" s="8" t="n">
        <v>98</v>
      </c>
      <c r="I15" s="8" t="n">
        <v>112</v>
      </c>
      <c r="J15" s="8" t="n">
        <v>120</v>
      </c>
      <c r="K15" s="8" t="n">
        <v>126</v>
      </c>
      <c r="L15" s="8" t="n">
        <v>129</v>
      </c>
      <c r="M15" s="8" t="n">
        <v>131</v>
      </c>
      <c r="N15" s="8" t="n">
        <v>131</v>
      </c>
      <c r="O15" s="8" t="n">
        <v>131</v>
      </c>
      <c r="P15" s="8" t="n">
        <v>131</v>
      </c>
      <c r="Q15" s="8" t="n">
        <v>131</v>
      </c>
      <c r="R15" s="8" t="n">
        <v>131</v>
      </c>
      <c r="S15" s="8" t="n">
        <v>131</v>
      </c>
      <c r="T15" s="8" t="n">
        <v>131</v>
      </c>
      <c r="U15" s="8" t="n">
        <v>131</v>
      </c>
      <c r="V15" s="10" t="inlineStr">
        <is>
          <t>+8%</t>
        </is>
      </c>
      <c r="W15" s="40" t="inlineStr">
        <is>
          <t>Active workforce</t>
        </is>
      </c>
    </row>
    <row r="16" ht="22" customHeight="1">
      <c r="A16" s="39" t="inlineStr">
        <is>
          <t>Wage Employment</t>
        </is>
      </c>
      <c r="B16" s="8" t="n">
        <v>8</v>
      </c>
      <c r="C16" s="8" t="n">
        <v>16</v>
      </c>
      <c r="D16" s="8" t="n">
        <v>24</v>
      </c>
      <c r="E16" s="8" t="n">
        <v>32</v>
      </c>
      <c r="F16" s="8" t="n">
        <v>38</v>
      </c>
      <c r="G16" s="8" t="n">
        <v>42</v>
      </c>
      <c r="H16" s="8" t="n">
        <v>45</v>
      </c>
      <c r="I16" s="8" t="n">
        <v>47</v>
      </c>
      <c r="J16" s="8" t="n">
        <v>48</v>
      </c>
      <c r="K16" s="8" t="n">
        <v>49</v>
      </c>
      <c r="L16" s="8" t="n">
        <v>50</v>
      </c>
      <c r="M16" s="8" t="n">
        <v>51</v>
      </c>
      <c r="N16" s="8" t="n">
        <v>51</v>
      </c>
      <c r="O16" s="8" t="n">
        <v>51</v>
      </c>
      <c r="P16" s="8" t="n">
        <v>51</v>
      </c>
      <c r="Q16" s="8" t="n">
        <v>51</v>
      </c>
      <c r="R16" s="8" t="n">
        <v>51</v>
      </c>
      <c r="S16" s="8" t="n">
        <v>51</v>
      </c>
      <c r="T16" s="8" t="n">
        <v>51</v>
      </c>
      <c r="U16" s="8" t="n">
        <v>51</v>
      </c>
      <c r="V16" s="10" t="inlineStr">
        <is>
          <t>+12%</t>
        </is>
      </c>
      <c r="W16" s="40" t="inlineStr">
        <is>
          <t>Employed (wage jobs)</t>
        </is>
      </c>
    </row>
    <row r="17" ht="22" customHeight="1">
      <c r="A17" s="39" t="inlineStr">
        <is>
          <t>Entrepreneurs</t>
        </is>
      </c>
      <c r="B17" s="8" t="n">
        <v>2</v>
      </c>
      <c r="C17" s="8" t="n">
        <v>4</v>
      </c>
      <c r="D17" s="8" t="n">
        <v>6</v>
      </c>
      <c r="E17" s="8" t="n">
        <v>8</v>
      </c>
      <c r="F17" s="8" t="n">
        <v>12</v>
      </c>
      <c r="G17" s="8" t="n">
        <v>14</v>
      </c>
      <c r="H17" s="8" t="n">
        <v>17</v>
      </c>
      <c r="I17" s="8" t="n">
        <v>19</v>
      </c>
      <c r="J17" s="8" t="n">
        <v>20</v>
      </c>
      <c r="K17" s="8" t="n">
        <v>20</v>
      </c>
      <c r="L17" s="8" t="n">
        <v>20</v>
      </c>
      <c r="M17" s="8" t="n">
        <v>21</v>
      </c>
      <c r="N17" s="8" t="n">
        <v>21</v>
      </c>
      <c r="O17" s="8" t="n">
        <v>21</v>
      </c>
      <c r="P17" s="8" t="n">
        <v>21</v>
      </c>
      <c r="Q17" s="8" t="n">
        <v>21</v>
      </c>
      <c r="R17" s="8" t="n">
        <v>21</v>
      </c>
      <c r="S17" s="8" t="n">
        <v>21</v>
      </c>
      <c r="T17" s="8" t="n">
        <v>21</v>
      </c>
      <c r="U17" s="8" t="n">
        <v>21</v>
      </c>
      <c r="V17" s="10" t="inlineStr">
        <is>
          <t>+5%</t>
        </is>
      </c>
      <c r="W17" s="40" t="inlineStr">
        <is>
          <t>Business owners</t>
        </is>
      </c>
    </row>
    <row r="18" ht="22" customHeight="1">
      <c r="A18" s="39" t="inlineStr">
        <is>
          <t>Jobs Created (Total)</t>
        </is>
      </c>
      <c r="B18" s="8" t="n">
        <v>120</v>
      </c>
      <c r="C18" s="8" t="n">
        <v>280</v>
      </c>
      <c r="D18" s="8" t="n">
        <v>520</v>
      </c>
      <c r="E18" s="8" t="n">
        <v>850</v>
      </c>
      <c r="F18" s="8" t="n">
        <v>1220</v>
      </c>
      <c r="G18" s="8" t="n">
        <v>1520</v>
      </c>
      <c r="H18" s="8" t="n">
        <v>1750</v>
      </c>
      <c r="I18" s="8" t="n">
        <v>1920</v>
      </c>
      <c r="J18" s="8" t="n">
        <v>2050</v>
      </c>
      <c r="K18" s="8" t="n">
        <v>2090</v>
      </c>
      <c r="L18" s="8" t="n">
        <v>2120</v>
      </c>
      <c r="M18" s="8" t="n">
        <v>2151</v>
      </c>
      <c r="N18" s="8" t="n">
        <v>2151</v>
      </c>
      <c r="O18" s="8" t="n">
        <v>2151</v>
      </c>
      <c r="P18" s="8" t="n">
        <v>2151</v>
      </c>
      <c r="Q18" s="8" t="n">
        <v>2151</v>
      </c>
      <c r="R18" s="8" t="n">
        <v>2151</v>
      </c>
      <c r="S18" s="8" t="n">
        <v>2151</v>
      </c>
      <c r="T18" s="8" t="n">
        <v>2151</v>
      </c>
      <c r="U18" s="8" t="n">
        <v>2151</v>
      </c>
      <c r="V18" s="10" t="inlineStr">
        <is>
          <t>+18%</t>
        </is>
      </c>
      <c r="W18" s="40" t="inlineStr">
        <is>
          <t>Direct employment created</t>
        </is>
      </c>
    </row>
    <row r="19" ht="22" customHeight="1">
      <c r="A19" s="39" t="inlineStr">
        <is>
          <t>Active Ventures</t>
        </is>
      </c>
      <c r="B19" s="8" t="n">
        <v>2</v>
      </c>
      <c r="C19" s="8" t="n">
        <v>4</v>
      </c>
      <c r="D19" s="8" t="n">
        <v>6</v>
      </c>
      <c r="E19" s="8" t="n">
        <v>9</v>
      </c>
      <c r="F19" s="8" t="n">
        <v>12</v>
      </c>
      <c r="G19" s="8" t="n">
        <v>14</v>
      </c>
      <c r="H19" s="8" t="n">
        <v>15</v>
      </c>
      <c r="I19" s="8" t="n">
        <v>16</v>
      </c>
      <c r="J19" s="8" t="n">
        <v>17</v>
      </c>
      <c r="K19" s="8" t="n">
        <v>17</v>
      </c>
      <c r="L19" s="8" t="n">
        <v>18</v>
      </c>
      <c r="M19" s="8" t="n">
        <v>18</v>
      </c>
      <c r="N19" s="8" t="n">
        <v>18</v>
      </c>
      <c r="O19" s="8" t="n">
        <v>18</v>
      </c>
      <c r="P19" s="8" t="n">
        <v>18</v>
      </c>
      <c r="Q19" s="8" t="n">
        <v>18</v>
      </c>
      <c r="R19" s="8" t="n">
        <v>18</v>
      </c>
      <c r="S19" s="8" t="n">
        <v>18</v>
      </c>
      <c r="T19" s="8" t="n">
        <v>18</v>
      </c>
      <c r="U19" s="8" t="n">
        <v>18</v>
      </c>
      <c r="V19" s="10" t="inlineStr">
        <is>
          <t>+22%</t>
        </is>
      </c>
      <c r="W19" s="40" t="inlineStr">
        <is>
          <t>Enterprises generating revenue</t>
        </is>
      </c>
    </row>
    <row r="20" ht="22" customHeight="1">
      <c r="A20" s="39" t="inlineStr">
        <is>
          <t>Freelancers</t>
        </is>
      </c>
      <c r="B20" s="8" t="n">
        <v>1</v>
      </c>
      <c r="C20" s="8" t="n">
        <v>2</v>
      </c>
      <c r="D20" s="8" t="n">
        <v>4</v>
      </c>
      <c r="E20" s="8" t="n">
        <v>6</v>
      </c>
      <c r="F20" s="8" t="n">
        <v>8</v>
      </c>
      <c r="G20" s="8" t="n">
        <v>10</v>
      </c>
      <c r="H20" s="8" t="n">
        <v>12</v>
      </c>
      <c r="I20" s="8" t="n">
        <v>13</v>
      </c>
      <c r="J20" s="8" t="n">
        <v>12</v>
      </c>
      <c r="K20" s="8" t="n">
        <v>12</v>
      </c>
      <c r="L20" s="8" t="n">
        <v>12</v>
      </c>
      <c r="M20" s="8" t="n">
        <v>12</v>
      </c>
      <c r="N20" s="8" t="n">
        <v>12</v>
      </c>
      <c r="O20" s="8" t="n">
        <v>12</v>
      </c>
      <c r="P20" s="8" t="n">
        <v>12</v>
      </c>
      <c r="Q20" s="8" t="n">
        <v>12</v>
      </c>
      <c r="R20" s="8" t="n">
        <v>12</v>
      </c>
      <c r="S20" s="8" t="n">
        <v>12</v>
      </c>
      <c r="T20" s="8" t="n">
        <v>12</v>
      </c>
      <c r="U20" s="8" t="n">
        <v>12</v>
      </c>
      <c r="V20" s="10" t="inlineStr">
        <is>
          <t>-3%</t>
        </is>
      </c>
      <c r="W20" s="40" t="inlineStr">
        <is>
          <t>Self-employed</t>
        </is>
      </c>
    </row>
    <row r="21" ht="22" customHeight="1">
      <c r="A21" s="39" t="inlineStr">
        <is>
          <t>Job Seeking</t>
        </is>
      </c>
      <c r="B21" s="8" t="n">
        <v>2</v>
      </c>
      <c r="C21" s="8" t="n">
        <v>4</v>
      </c>
      <c r="D21" s="8" t="n">
        <v>6</v>
      </c>
      <c r="E21" s="8" t="n">
        <v>8</v>
      </c>
      <c r="F21" s="8" t="n">
        <v>10</v>
      </c>
      <c r="G21" s="8" t="n">
        <v>12</v>
      </c>
      <c r="H21" s="8" t="n">
        <v>14</v>
      </c>
      <c r="I21" s="8" t="n">
        <v>15</v>
      </c>
      <c r="J21" s="8" t="n">
        <v>16</v>
      </c>
      <c r="K21" s="8" t="n">
        <v>25</v>
      </c>
      <c r="L21" s="8" t="n">
        <v>35</v>
      </c>
      <c r="M21" s="8" t="n">
        <v>47</v>
      </c>
      <c r="N21" s="8" t="n">
        <v>50</v>
      </c>
      <c r="O21" s="8" t="n">
        <v>50</v>
      </c>
      <c r="P21" s="8" t="n">
        <v>50</v>
      </c>
      <c r="Q21" s="8" t="n">
        <v>47</v>
      </c>
      <c r="R21" s="8" t="n">
        <v>47</v>
      </c>
      <c r="S21" s="8" t="n">
        <v>47</v>
      </c>
      <c r="T21" s="8" t="n">
        <v>47</v>
      </c>
      <c r="U21" s="8" t="n">
        <v>47</v>
      </c>
      <c r="V21" s="10" t="inlineStr">
        <is>
          <t>-15%</t>
        </is>
      </c>
      <c r="W21" s="40" t="inlineStr">
        <is>
          <t>In transition / seeking</t>
        </is>
      </c>
    </row>
    <row r="22" ht="22" customHeight="1">
      <c r="A22" s="39" t="inlineStr">
        <is>
          <t>Continuing Studies</t>
        </is>
      </c>
      <c r="B22" s="8" t="n">
        <v>15</v>
      </c>
      <c r="C22" s="8" t="n">
        <v>32</v>
      </c>
      <c r="D22" s="8" t="n">
        <v>52</v>
      </c>
      <c r="E22" s="8" t="n">
        <v>78</v>
      </c>
      <c r="F22" s="8" t="n">
        <v>110</v>
      </c>
      <c r="G22" s="8" t="n">
        <v>140</v>
      </c>
      <c r="H22" s="8" t="n">
        <v>165</v>
      </c>
      <c r="I22" s="8" t="n">
        <v>185</v>
      </c>
      <c r="J22" s="8" t="n">
        <v>200</v>
      </c>
      <c r="K22" s="8" t="n">
        <v>206</v>
      </c>
      <c r="L22" s="8" t="n">
        <v>206</v>
      </c>
      <c r="M22" s="8" t="n">
        <v>206</v>
      </c>
      <c r="N22" s="8" t="n">
        <v>206</v>
      </c>
      <c r="O22" s="8" t="n">
        <v>206</v>
      </c>
      <c r="P22" s="8" t="n">
        <v>206</v>
      </c>
      <c r="Q22" s="8" t="n">
        <v>206</v>
      </c>
      <c r="R22" s="8" t="n">
        <v>206</v>
      </c>
      <c r="S22" s="8" t="n">
        <v>206</v>
      </c>
      <c r="T22" s="8" t="n">
        <v>206</v>
      </c>
      <c r="U22" s="8" t="n">
        <v>206</v>
      </c>
      <c r="V22" s="10" t="inlineStr">
        <is>
          <t>+11%</t>
        </is>
      </c>
      <c r="W22" s="40" t="inlineStr">
        <is>
          <t>Further education pursuits</t>
        </is>
      </c>
    </row>
    <row r="23" ht="18" customHeight="1">
      <c r="A23" s="35" t="inlineStr">
        <is>
          <t>KEY PERFORMANCE INSIGHTS</t>
        </is>
      </c>
    </row>
    <row r="24" ht="22" customHeight="1">
      <c r="A24" s="41" t="inlineStr">
        <is>
          <t>52%</t>
        </is>
      </c>
      <c r="B24" s="39" t="inlineStr">
        <is>
          <t>Gender Balance</t>
        </is>
      </c>
      <c r="C24" s="40" t="inlineStr">
        <is>
          <t>Female participants (Target: 50%)</t>
        </is>
      </c>
      <c r="D24" s="31" t="n"/>
      <c r="E24" s="40" t="inlineStr">
        <is>
          <t>Exceeds target across all programmes</t>
        </is>
      </c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1" t="n"/>
    </row>
    <row r="25" ht="22" customHeight="1">
      <c r="A25" s="41" t="inlineStr">
        <is>
          <t>+28%</t>
        </is>
      </c>
      <c r="B25" s="39" t="inlineStr">
        <is>
          <t>Regional Growth</t>
        </is>
      </c>
      <c r="C25" s="40" t="inlineStr">
        <is>
          <t>YoY expansion across 12 countries</t>
        </is>
      </c>
      <c r="D25" s="31" t="n"/>
      <c r="E25" s="40" t="inlineStr">
        <is>
          <t>East Africa +38%, West Africa activated</t>
        </is>
      </c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1" t="n"/>
    </row>
    <row r="26" ht="22" customHeight="1">
      <c r="A26" s="41" t="inlineStr">
        <is>
          <t>76%</t>
        </is>
      </c>
      <c r="B26" s="39" t="inlineStr">
        <is>
          <t>Employment Success</t>
        </is>
      </c>
      <c r="C26" s="40" t="inlineStr">
        <is>
          <t>Graduate employment rate</t>
        </is>
      </c>
      <c r="D26" s="31" t="n"/>
      <c r="E26" s="40" t="inlineStr">
        <is>
          <t>Wage 39%, Self-emp 23%, Further ed 14%</t>
        </is>
      </c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1" t="n"/>
    </row>
    <row r="27" ht="22" customHeight="1">
      <c r="A27" s="41" t="inlineStr">
        <is>
          <t>18</t>
        </is>
      </c>
      <c r="B27" s="39" t="inlineStr">
        <is>
          <t>Venture Momentum</t>
        </is>
      </c>
      <c r="C27" s="40" t="inlineStr">
        <is>
          <t>New enterprises (↑22% YoY)</t>
        </is>
      </c>
      <c r="D27" s="31" t="n"/>
      <c r="E27" s="40" t="inlineStr">
        <is>
          <t>2,151 jobs created, avg $52K revenue</t>
        </is>
      </c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1" t="n"/>
    </row>
  </sheetData>
  <mergeCells count="18">
    <mergeCell ref="C24:D24"/>
    <mergeCell ref="B4:E4"/>
    <mergeCell ref="A2:U2"/>
    <mergeCell ref="R4:U4"/>
    <mergeCell ref="E26:U26"/>
    <mergeCell ref="C25:D25"/>
    <mergeCell ref="F4:I4"/>
    <mergeCell ref="C27:D27"/>
    <mergeCell ref="J4:M4"/>
    <mergeCell ref="C26:D26"/>
    <mergeCell ref="N4:Q4"/>
    <mergeCell ref="E25:U25"/>
    <mergeCell ref="A14:U14"/>
    <mergeCell ref="E24:U24"/>
    <mergeCell ref="A1:U1"/>
    <mergeCell ref="A23:U23"/>
    <mergeCell ref="E27:U27"/>
    <mergeCell ref="A3:U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25" customHeight="1">
      <c r="A1" s="1" t="inlineStr">
        <is>
          <t>OUTREACH - PARTICIPATION METRICS</t>
        </is>
      </c>
    </row>
    <row r="3">
      <c r="A3" s="5" t="inlineStr">
        <is>
          <t>Participants by Programme</t>
        </is>
      </c>
    </row>
    <row r="4">
      <c r="A4" s="11" t="inlineStr">
        <is>
          <t>Programme</t>
        </is>
      </c>
      <c r="B4" s="11" t="inlineStr">
        <is>
          <t>Total Participants</t>
        </is>
      </c>
      <c r="C4" s="11" t="inlineStr">
        <is>
          <t>Female %</t>
        </is>
      </c>
    </row>
    <row r="5">
      <c r="A5" s="12" t="inlineStr">
        <is>
          <t>HEMP</t>
        </is>
      </c>
      <c r="B5" s="12" t="n">
        <v>18000</v>
      </c>
      <c r="C5" s="12" t="n">
        <v>55</v>
      </c>
    </row>
    <row r="6">
      <c r="A6" s="12" t="inlineStr">
        <is>
          <t>HENT</t>
        </is>
      </c>
      <c r="B6" s="12" t="n">
        <v>16500</v>
      </c>
      <c r="C6" s="12" t="n">
        <v>48</v>
      </c>
    </row>
    <row r="7">
      <c r="A7" s="12" t="inlineStr">
        <is>
          <t>HECO</t>
        </is>
      </c>
      <c r="B7" s="12" t="n">
        <v>10820</v>
      </c>
      <c r="C7" s="12" t="n">
        <v>45</v>
      </c>
    </row>
    <row r="11">
      <c r="A11" s="5" t="inlineStr">
        <is>
          <t>Participants by Institution</t>
        </is>
      </c>
    </row>
    <row r="12">
      <c r="A12" s="11" t="inlineStr">
        <is>
          <t>Institution</t>
        </is>
      </c>
      <c r="B12" s="11" t="inlineStr">
        <is>
          <t>Participants</t>
        </is>
      </c>
      <c r="C12" s="11" t="inlineStr">
        <is>
          <t>% of Total</t>
        </is>
      </c>
    </row>
    <row r="13">
      <c r="A13" s="12" t="inlineStr">
        <is>
          <t>ALU</t>
        </is>
      </c>
      <c r="B13" s="12" t="n">
        <v>22000</v>
      </c>
      <c r="C13" s="12">
        <f>A13/45320*100</f>
        <v/>
      </c>
    </row>
    <row r="14">
      <c r="A14" s="12" t="inlineStr">
        <is>
          <t>ALX</t>
        </is>
      </c>
      <c r="B14" s="12" t="n">
        <v>15000</v>
      </c>
      <c r="C14" s="12">
        <f>A14/45320*100</f>
        <v/>
      </c>
    </row>
    <row r="15">
      <c r="A15" s="12" t="inlineStr">
        <is>
          <t>ALCHE</t>
        </is>
      </c>
      <c r="B15" s="12" t="n">
        <v>8320</v>
      </c>
      <c r="C15" s="12">
        <f>A15/45320*100</f>
        <v/>
      </c>
    </row>
  </sheetData>
  <mergeCells count="3">
    <mergeCell ref="A3:C3"/>
    <mergeCell ref="A1:F1"/>
    <mergeCell ref="A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5" customHeight="1">
      <c r="A1" s="1" t="inlineStr">
        <is>
          <t>EMPLOYMENT OUTCOMES - YOUTH IN WORK</t>
        </is>
      </c>
    </row>
    <row r="3">
      <c r="A3" s="5" t="inlineStr">
        <is>
          <t>Employment Pathway Distribution</t>
        </is>
      </c>
    </row>
    <row r="4">
      <c r="A4" s="11" t="inlineStr">
        <is>
          <t>Pathway</t>
        </is>
      </c>
      <c r="B4" s="11" t="inlineStr">
        <is>
          <t>Count</t>
        </is>
      </c>
      <c r="C4" s="11" t="inlineStr">
        <is>
          <t>% of Total</t>
        </is>
      </c>
      <c r="D4" s="11" t="inlineStr">
        <is>
          <t>Notes</t>
        </is>
      </c>
    </row>
    <row r="5">
      <c r="A5" s="13" t="inlineStr">
        <is>
          <t>Wage Employment</t>
        </is>
      </c>
      <c r="B5" s="12" t="n">
        <v>1428</v>
      </c>
      <c r="C5" s="14">
        <f>B5/2100*100</f>
        <v/>
      </c>
      <c r="D5" s="13" t="inlineStr">
        <is>
          <t>Full-time &amp; part-time roles</t>
        </is>
      </c>
    </row>
    <row r="6">
      <c r="A6" s="13" t="inlineStr">
        <is>
          <t>Enterprise/Self-employment</t>
        </is>
      </c>
      <c r="B6" s="12" t="n">
        <v>525</v>
      </c>
      <c r="C6" s="14">
        <f>B6/2100*100</f>
        <v/>
      </c>
      <c r="D6" s="13" t="inlineStr">
        <is>
          <t>Founder/co-founder</t>
        </is>
      </c>
    </row>
    <row r="7">
      <c r="A7" s="13" t="inlineStr">
        <is>
          <t>Freelance</t>
        </is>
      </c>
      <c r="B7" s="12" t="n">
        <v>98</v>
      </c>
      <c r="C7" s="14">
        <f>B7/2100*100</f>
        <v/>
      </c>
      <c r="D7" s="13" t="inlineStr">
        <is>
          <t>Contract/gig work</t>
        </is>
      </c>
    </row>
    <row r="8">
      <c r="A8" s="13" t="inlineStr">
        <is>
          <t>Internship</t>
        </is>
      </c>
      <c r="B8" s="12" t="n">
        <v>49</v>
      </c>
      <c r="C8" s="14">
        <f>B8/2100*100</f>
        <v/>
      </c>
      <c r="D8" s="13" t="inlineStr">
        <is>
          <t>Post-programme internships</t>
        </is>
      </c>
    </row>
    <row r="10">
      <c r="A10" s="5" t="inlineStr">
        <is>
          <t>Employment Quality</t>
        </is>
      </c>
    </row>
    <row r="11">
      <c r="A11" s="11" t="inlineStr">
        <is>
          <t>Metric</t>
        </is>
      </c>
      <c r="B11" s="11" t="inlineStr">
        <is>
          <t>Value</t>
        </is>
      </c>
      <c r="C11" s="11" t="inlineStr">
        <is>
          <t>Status</t>
        </is>
      </c>
      <c r="D11" s="11" t="inlineStr">
        <is>
          <t>Notes</t>
        </is>
      </c>
    </row>
    <row r="12">
      <c r="A12" s="13" t="inlineStr">
        <is>
          <t>Avg Annual Salary (USD)</t>
        </is>
      </c>
      <c r="B12" s="15" t="n">
        <v>18000</v>
      </c>
      <c r="C12" s="13" t="inlineStr">
        <is>
          <t>On Target</t>
        </is>
      </c>
      <c r="D12" s="13" t="inlineStr">
        <is>
          <t>Varies by sector</t>
        </is>
      </c>
    </row>
    <row r="13">
      <c r="A13" s="13" t="inlineStr">
        <is>
          <t>Female Employment Rate (%)</t>
        </is>
      </c>
      <c r="B13" s="16" t="n">
        <v>68</v>
      </c>
      <c r="C13" s="13" t="inlineStr">
        <is>
          <t>Above Target</t>
        </is>
      </c>
      <c r="D13" s="13" t="inlineStr">
        <is>
          <t>Strong performance</t>
        </is>
      </c>
    </row>
    <row r="14">
      <c r="A14" s="13" t="inlineStr">
        <is>
          <t>Youth Employment Rate (%)</t>
        </is>
      </c>
      <c r="B14" s="16" t="n">
        <v>65</v>
      </c>
      <c r="C14" s="13" t="inlineStr">
        <is>
          <t>On Target</t>
        </is>
      </c>
      <c r="D14" s="13" t="inlineStr">
        <is>
          <t>Youth &lt;35</t>
        </is>
      </c>
    </row>
  </sheetData>
  <mergeCells count="3">
    <mergeCell ref="A1:D1"/>
    <mergeCell ref="A3:D3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WAGE EMPLOYMENT - DETAILED METRICS</t>
        </is>
      </c>
    </row>
    <row r="3">
      <c r="A3" s="5" t="inlineStr">
        <is>
          <t>Employment Type Distribution</t>
        </is>
      </c>
    </row>
    <row r="4">
      <c r="A4" s="11" t="inlineStr">
        <is>
          <t>Employment Type</t>
        </is>
      </c>
      <c r="B4" s="11" t="inlineStr">
        <is>
          <t>Count</t>
        </is>
      </c>
      <c r="C4" s="11" t="inlineStr">
        <is>
          <t>% of Wage</t>
        </is>
      </c>
      <c r="D4" s="11" t="inlineStr">
        <is>
          <t>Avg Salary (USD)</t>
        </is>
      </c>
      <c r="E4" s="11" t="inlineStr">
        <is>
          <t>Notes</t>
        </is>
      </c>
    </row>
    <row r="5">
      <c r="A5" s="13" t="inlineStr">
        <is>
          <t>Full-time</t>
        </is>
      </c>
      <c r="B5" s="12" t="n">
        <v>1000</v>
      </c>
      <c r="C5" s="14">
        <f>B5/1428*100</f>
        <v/>
      </c>
      <c r="D5" s="12" t="n">
        <v>22000</v>
      </c>
      <c r="E5" s="13" t="inlineStr">
        <is>
          <t>Permanent positions</t>
        </is>
      </c>
    </row>
    <row r="6">
      <c r="A6" s="13" t="inlineStr">
        <is>
          <t>Part-time</t>
        </is>
      </c>
      <c r="B6" s="12" t="n">
        <v>320</v>
      </c>
      <c r="C6" s="14">
        <f>B6/1428*100</f>
        <v/>
      </c>
      <c r="D6" s="12" t="n">
        <v>12000</v>
      </c>
      <c r="E6" s="13" t="inlineStr">
        <is>
          <t>Flexible arrangement</t>
        </is>
      </c>
    </row>
    <row r="7">
      <c r="A7" s="13" t="inlineStr">
        <is>
          <t>Contract</t>
        </is>
      </c>
      <c r="B7" s="12" t="n">
        <v>108</v>
      </c>
      <c r="C7" s="14">
        <f>B7/1428*100</f>
        <v/>
      </c>
      <c r="D7" s="12" t="n">
        <v>16000</v>
      </c>
      <c r="E7" s="13" t="inlineStr">
        <is>
          <t>Fixed-term contracts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" t="inlineStr">
        <is>
          <t>ENTREPRENEURSHIP - VENTURE PORTFOLIO</t>
        </is>
      </c>
    </row>
    <row r="3">
      <c r="A3" s="5" t="inlineStr">
        <is>
          <t>Venture Portfolio Overview</t>
        </is>
      </c>
    </row>
    <row r="4">
      <c r="A4" s="11" t="inlineStr">
        <is>
          <t>Stage</t>
        </is>
      </c>
      <c r="B4" s="11" t="inlineStr">
        <is>
          <t>Count</t>
        </is>
      </c>
      <c r="C4" s="11" t="inlineStr">
        <is>
          <t>Revenue Generating</t>
        </is>
      </c>
      <c r="D4" s="11" t="inlineStr">
        <is>
          <t>Avg Funding (USD)</t>
        </is>
      </c>
      <c r="E4" s="11" t="inlineStr">
        <is>
          <t>Jobs Created</t>
        </is>
      </c>
      <c r="F4" s="11" t="inlineStr">
        <is>
          <t>% Women-led</t>
        </is>
      </c>
    </row>
    <row r="5">
      <c r="A5" s="13" t="inlineStr">
        <is>
          <t>Ideation</t>
        </is>
      </c>
      <c r="B5" s="12" t="n">
        <v>12</v>
      </c>
      <c r="C5" s="12" t="n">
        <v>0</v>
      </c>
      <c r="D5" s="12" t="n">
        <v>0</v>
      </c>
      <c r="E5" s="12" t="n">
        <v>0</v>
      </c>
      <c r="F5" s="16" t="n">
        <v>42</v>
      </c>
    </row>
    <row r="6">
      <c r="A6" s="13" t="inlineStr">
        <is>
          <t>Validation</t>
        </is>
      </c>
      <c r="B6" s="12" t="n">
        <v>15</v>
      </c>
      <c r="C6" s="12" t="n">
        <v>2</v>
      </c>
      <c r="D6" s="12" t="n">
        <v>12000</v>
      </c>
      <c r="E6" s="12" t="n">
        <v>5</v>
      </c>
      <c r="F6" s="16" t="n">
        <v>47</v>
      </c>
    </row>
    <row r="7">
      <c r="A7" s="13" t="inlineStr">
        <is>
          <t>Prototype/MVP</t>
        </is>
      </c>
      <c r="B7" s="12" t="n">
        <v>18</v>
      </c>
      <c r="C7" s="12" t="n">
        <v>8</v>
      </c>
      <c r="D7" s="12" t="n">
        <v>25000</v>
      </c>
      <c r="E7" s="12" t="n">
        <v>24</v>
      </c>
      <c r="F7" s="16" t="n">
        <v>44</v>
      </c>
    </row>
    <row r="8">
      <c r="A8" s="13" t="inlineStr">
        <is>
          <t>Early Growth</t>
        </is>
      </c>
      <c r="B8" s="12" t="n">
        <v>30</v>
      </c>
      <c r="C8" s="12" t="n">
        <v>22</v>
      </c>
      <c r="D8" s="12" t="n">
        <v>52000</v>
      </c>
      <c r="E8" s="12" t="n">
        <v>180</v>
      </c>
      <c r="F8" s="16" t="n">
        <v>40</v>
      </c>
    </row>
    <row r="9">
      <c r="A9" s="13" t="inlineStr">
        <is>
          <t>Scaling</t>
        </is>
      </c>
      <c r="B9" s="12" t="n">
        <v>15</v>
      </c>
      <c r="C9" s="12" t="n">
        <v>14</v>
      </c>
      <c r="D9" s="12" t="n">
        <v>85000</v>
      </c>
      <c r="E9" s="12" t="n">
        <v>720</v>
      </c>
      <c r="F9" s="16" t="n">
        <v>35</v>
      </c>
    </row>
    <row r="10">
      <c r="A10" s="13" t="inlineStr">
        <is>
          <t>Investment/Funding</t>
        </is>
      </c>
      <c r="B10" s="12" t="n">
        <v>6</v>
      </c>
      <c r="C10" s="12" t="n">
        <v>5</v>
      </c>
      <c r="D10" s="12" t="n">
        <v>180000</v>
      </c>
      <c r="E10" s="12" t="n">
        <v>315</v>
      </c>
      <c r="F10" s="16" t="n">
        <v>33</v>
      </c>
    </row>
    <row r="12">
      <c r="A12" s="5" t="inlineStr">
        <is>
          <t>Funding &amp; Revenue Metrics</t>
        </is>
      </c>
    </row>
    <row r="13">
      <c r="A13" s="11" t="inlineStr">
        <is>
          <t>Metric</t>
        </is>
      </c>
      <c r="B13" s="11" t="inlineStr">
        <is>
          <t>Value</t>
        </is>
      </c>
      <c r="C13" s="11" t="inlineStr">
        <is>
          <t>Status</t>
        </is>
      </c>
      <c r="D13" s="11" t="inlineStr">
        <is>
          <t>Target</t>
        </is>
      </c>
      <c r="E13" s="11" t="inlineStr">
        <is>
          <t>Variance</t>
        </is>
      </c>
      <c r="F13" s="11" t="inlineStr">
        <is>
          <t>Notes</t>
        </is>
      </c>
    </row>
    <row r="14">
      <c r="A14" s="13" t="inlineStr">
        <is>
          <t>Total Funding Raised (USD M)</t>
        </is>
      </c>
      <c r="B14" s="17" t="n">
        <v>8.199999999999999</v>
      </c>
      <c r="C14" s="13" t="inlineStr">
        <is>
          <t>On Track</t>
        </is>
      </c>
      <c r="D14" s="13" t="n">
        <v>7.5</v>
      </c>
      <c r="E14" s="13">
        <f>B15-D15</f>
        <v/>
      </c>
      <c r="F14" s="13" t="inlineStr">
        <is>
          <t>Exceeded target</t>
        </is>
      </c>
    </row>
    <row r="15">
      <c r="A15" s="13" t="inlineStr">
        <is>
          <t>Total Revenue (USD M)</t>
        </is>
      </c>
      <c r="B15" s="17" t="n">
        <v>3.5</v>
      </c>
      <c r="C15" s="13" t="inlineStr">
        <is>
          <t>On Track</t>
        </is>
      </c>
      <c r="D15" s="13" t="n">
        <v>3</v>
      </c>
      <c r="E15" s="13">
        <f>B16-D16</f>
        <v/>
      </c>
      <c r="F15" s="13" t="inlineStr">
        <is>
          <t>Strong performance</t>
        </is>
      </c>
    </row>
    <row r="16">
      <c r="A16" s="13" t="inlineStr">
        <is>
          <t>% Revenue-generating Ventures</t>
        </is>
      </c>
      <c r="B16" s="16" t="n">
        <v>67</v>
      </c>
      <c r="C16" s="13" t="inlineStr">
        <is>
          <t>On Track</t>
        </is>
      </c>
      <c r="D16" s="16" t="n">
        <v>60</v>
      </c>
      <c r="E16" s="16">
        <f>B17-D17</f>
        <v/>
      </c>
      <c r="F16" s="13" t="inlineStr">
        <is>
          <t>Above 60% target</t>
        </is>
      </c>
    </row>
  </sheetData>
  <mergeCells count="3">
    <mergeCell ref="A3:F3"/>
    <mergeCell ref="A1:F1"/>
    <mergeCell ref="A12:F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FURTHER EDUCATION - LEARNING OUTCOMES</t>
        </is>
      </c>
    </row>
    <row r="3">
      <c r="A3" s="5" t="inlineStr">
        <is>
          <t>Knowledge &amp; Skill Development</t>
        </is>
      </c>
    </row>
    <row r="4">
      <c r="A4" s="11" t="inlineStr">
        <is>
          <t>Outcome Metric</t>
        </is>
      </c>
      <c r="B4" s="11" t="inlineStr">
        <is>
          <t>Baseline</t>
        </is>
      </c>
      <c r="C4" s="11" t="inlineStr">
        <is>
          <t>Post-Programme</t>
        </is>
      </c>
      <c r="D4" s="11" t="inlineStr">
        <is>
          <t>Improvement %</t>
        </is>
      </c>
      <c r="E4" s="11" t="inlineStr">
        <is>
          <t>Target</t>
        </is>
      </c>
    </row>
    <row r="5">
      <c r="A5" s="14" t="inlineStr">
        <is>
          <t>Knowledge Score (avg %)</t>
        </is>
      </c>
      <c r="B5" s="16" t="n">
        <v>58</v>
      </c>
      <c r="C5" s="16" t="n">
        <v>79</v>
      </c>
      <c r="D5" s="14">
        <f>((B5-C5)/B5)*100</f>
        <v/>
      </c>
      <c r="E5" s="16" t="n">
        <v>70</v>
      </c>
    </row>
    <row r="6">
      <c r="A6" s="14" t="inlineStr">
        <is>
          <t>Financial Literacy Confidence</t>
        </is>
      </c>
      <c r="B6" s="16" t="n">
        <v>6.2</v>
      </c>
      <c r="C6" s="16" t="n">
        <v>8.1</v>
      </c>
      <c r="D6" s="14">
        <f>((C6-B6)/B6)*100</f>
        <v/>
      </c>
      <c r="E6" s="16" t="n">
        <v>7.5</v>
      </c>
    </row>
    <row r="7">
      <c r="A7" s="14" t="inlineStr">
        <is>
          <t>Leadership Self-Assessment</t>
        </is>
      </c>
      <c r="B7" s="16" t="n">
        <v>62</v>
      </c>
      <c r="C7" s="16" t="n">
        <v>78</v>
      </c>
      <c r="D7" s="14">
        <f>((C7-B7)/B7)*100</f>
        <v/>
      </c>
      <c r="E7" s="16" t="n">
        <v>70</v>
      </c>
    </row>
    <row r="8">
      <c r="A8" s="14" t="inlineStr">
        <is>
          <t>Career Clarity Achieved (%)</t>
        </is>
      </c>
      <c r="B8" s="16" t="n">
        <v>42</v>
      </c>
      <c r="C8" s="16" t="n">
        <v>78</v>
      </c>
      <c r="D8" s="14">
        <f>C8-B8</f>
        <v/>
      </c>
      <c r="E8" s="16" t="n">
        <v>75</v>
      </c>
    </row>
    <row r="10">
      <c r="A10" s="5" t="inlineStr">
        <is>
          <t>Further Study &amp; Career Pathways</t>
        </is>
      </c>
    </row>
    <row r="11">
      <c r="A11" s="11" t="inlineStr">
        <is>
          <t>Career Pathway</t>
        </is>
      </c>
      <c r="B11" s="11" t="inlineStr">
        <is>
          <t>Participants</t>
        </is>
      </c>
      <c r="C11" s="11" t="inlineStr">
        <is>
          <t>% of Cohort</t>
        </is>
      </c>
      <c r="D11" s="11" t="inlineStr">
        <is>
          <t>Satisfaction (0-5)</t>
        </is>
      </c>
      <c r="E11" s="11" t="inlineStr">
        <is>
          <t>Notes</t>
        </is>
      </c>
    </row>
    <row r="12">
      <c r="A12" s="13" t="inlineStr">
        <is>
          <t>Employment (Wage)</t>
        </is>
      </c>
      <c r="B12" s="12" t="n">
        <v>680</v>
      </c>
      <c r="C12" s="14">
        <f>B12/850*100</f>
        <v/>
      </c>
      <c r="D12" s="18" t="n">
        <v>4.2</v>
      </c>
      <c r="E12" s="13" t="inlineStr">
        <is>
          <t>Highest satisfaction</t>
        </is>
      </c>
    </row>
    <row r="13">
      <c r="A13" s="13" t="inlineStr">
        <is>
          <t>Entrepreneurship</t>
        </is>
      </c>
      <c r="B13" s="12" t="n">
        <v>125</v>
      </c>
      <c r="C13" s="14">
        <f>B13/850*100</f>
        <v/>
      </c>
      <c r="D13" s="18" t="n">
        <v>4.5</v>
      </c>
      <c r="E13" s="13" t="inlineStr">
        <is>
          <t>Above average</t>
        </is>
      </c>
    </row>
    <row r="14">
      <c r="A14" s="13" t="inlineStr">
        <is>
          <t>Further Study</t>
        </is>
      </c>
      <c r="B14" s="12" t="n">
        <v>45</v>
      </c>
      <c r="C14" s="14">
        <f>B14/850*100</f>
        <v/>
      </c>
      <c r="D14" s="18" t="n">
        <v>4.3</v>
      </c>
      <c r="E14" s="13" t="inlineStr">
        <is>
          <t>Masters programmes</t>
        </is>
      </c>
    </row>
  </sheetData>
  <mergeCells count="3">
    <mergeCell ref="A3:E3"/>
    <mergeCell ref="A1:E1"/>
    <mergeCell ref="A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5" customHeight="1">
      <c r="A1" s="1" t="inlineStr">
        <is>
          <t>IMPACT REPORTS - LONG-TERM OUTCOMES</t>
        </is>
      </c>
    </row>
    <row r="3">
      <c r="A3" s="5" t="inlineStr">
        <is>
          <t>Health System Adoption</t>
        </is>
      </c>
    </row>
    <row r="4">
      <c r="A4" s="11" t="inlineStr">
        <is>
          <t>Health Actor Type</t>
        </is>
      </c>
      <c r="B4" s="11" t="inlineStr">
        <is>
          <t>Count</t>
        </is>
      </c>
      <c r="C4" s="11" t="inlineStr">
        <is>
          <t>HENT Solutions Adopted</t>
        </is>
      </c>
      <c r="D4" s="11" t="inlineStr">
        <is>
          <t>Lives Impacted (Est.)</t>
        </is>
      </c>
      <c r="E4" s="11" t="inlineStr">
        <is>
          <t>Status</t>
        </is>
      </c>
    </row>
    <row r="5">
      <c r="A5" s="13" t="inlineStr">
        <is>
          <t>Hospitals</t>
        </is>
      </c>
      <c r="B5" s="12" t="n">
        <v>12</v>
      </c>
      <c r="C5" s="12" t="n">
        <v>10</v>
      </c>
      <c r="D5" s="12" t="n">
        <v>48000</v>
      </c>
      <c r="E5" s="13" t="inlineStr">
        <is>
          <t>Active</t>
        </is>
      </c>
    </row>
    <row r="6">
      <c r="A6" s="13" t="inlineStr">
        <is>
          <t>Community Health Centers</t>
        </is>
      </c>
      <c r="B6" s="12" t="n">
        <v>35</v>
      </c>
      <c r="C6" s="12" t="n">
        <v>28</v>
      </c>
      <c r="D6" s="12" t="n">
        <v>156000</v>
      </c>
      <c r="E6" s="13" t="inlineStr">
        <is>
          <t>Active</t>
        </is>
      </c>
    </row>
    <row r="7">
      <c r="A7" s="13" t="inlineStr">
        <is>
          <t>Clinics/Health Posts</t>
        </is>
      </c>
      <c r="B7" s="12" t="n">
        <v>54</v>
      </c>
      <c r="C7" s="12" t="n">
        <v>42</v>
      </c>
      <c r="D7" s="12" t="n">
        <v>84000</v>
      </c>
      <c r="E7" s="13" t="inlineStr">
        <is>
          <t>Active</t>
        </is>
      </c>
    </row>
    <row r="9">
      <c r="A9" s="5" t="inlineStr">
        <is>
          <t>Research &amp; Policy Influence</t>
        </is>
      </c>
    </row>
    <row r="10">
      <c r="A10" s="11" t="inlineStr">
        <is>
          <t>Output Type</t>
        </is>
      </c>
      <c r="B10" s="11" t="inlineStr">
        <is>
          <t>Count</t>
        </is>
      </c>
      <c r="C10" s="11" t="inlineStr">
        <is>
          <t>Year</t>
        </is>
      </c>
      <c r="D10" s="11" t="inlineStr">
        <is>
          <t>Policy Influence</t>
        </is>
      </c>
      <c r="E10" s="11" t="inlineStr">
        <is>
          <t>Notes</t>
        </is>
      </c>
    </row>
    <row r="11">
      <c r="A11" s="13" t="inlineStr">
        <is>
          <t>Publications</t>
        </is>
      </c>
      <c r="B11" s="12" t="n">
        <v>12</v>
      </c>
      <c r="C11" s="13" t="n">
        <v>2026</v>
      </c>
      <c r="D11" s="13" t="inlineStr">
        <is>
          <t>Yes</t>
        </is>
      </c>
      <c r="E11" s="13" t="inlineStr">
        <is>
          <t>Peer-reviewed &amp; media</t>
        </is>
      </c>
    </row>
    <row r="12">
      <c r="A12" s="13" t="inlineStr">
        <is>
          <t>Policy Briefs</t>
        </is>
      </c>
      <c r="B12" s="12" t="n">
        <v>5</v>
      </c>
      <c r="C12" s="13" t="n">
        <v>2026</v>
      </c>
      <c r="D12" s="13" t="inlineStr">
        <is>
          <t>Yes</t>
        </is>
      </c>
      <c r="E12" s="13" t="inlineStr">
        <is>
          <t>Government adoption</t>
        </is>
      </c>
    </row>
    <row r="13">
      <c r="A13" s="13" t="inlineStr">
        <is>
          <t>Research Partnerships</t>
        </is>
      </c>
      <c r="B13" s="12" t="n">
        <v>12</v>
      </c>
      <c r="C13" s="13" t="n">
        <v>2026</v>
      </c>
      <c r="D13" s="13" t="inlineStr">
        <is>
          <t>Yes</t>
        </is>
      </c>
      <c r="E13" s="13" t="inlineStr">
        <is>
          <t>Active collaborations</t>
        </is>
      </c>
    </row>
  </sheetData>
  <mergeCells count="3">
    <mergeCell ref="A1:E1"/>
    <mergeCell ref="A9:E9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5" customHeight="1">
      <c r="A1" s="1" t="inlineStr">
        <is>
          <t>IMPACT STORIES - QUALITATIVE NARRATIVES</t>
        </is>
      </c>
    </row>
    <row r="3">
      <c r="A3" s="5" t="inlineStr">
        <is>
          <t>Featured Stories</t>
        </is>
      </c>
    </row>
    <row r="4">
      <c r="A4" s="11" t="inlineStr">
        <is>
          <t>Story Title</t>
        </is>
      </c>
      <c r="B4" s="11" t="inlineStr">
        <is>
          <t>Founder/Subject</t>
        </is>
      </c>
      <c r="C4" s="11" t="inlineStr">
        <is>
          <t>Programme</t>
        </is>
      </c>
      <c r="D4" s="11" t="inlineStr">
        <is>
          <t>Impact Summary</t>
        </is>
      </c>
    </row>
    <row r="5" ht="30" customHeight="1">
      <c r="A5" s="19" t="inlineStr">
        <is>
          <t>HealthLink Africa: Digital Health in Rural Kenya</t>
        </is>
      </c>
      <c r="B5" s="19" t="inlineStr">
        <is>
          <t>John Kipchoge</t>
        </is>
      </c>
      <c r="C5" s="19" t="inlineStr">
        <is>
          <t>HENT</t>
        </is>
      </c>
      <c r="D5" s="19" t="inlineStr">
        <is>
          <t>8,500 patients served, 45 health workers trained</t>
        </is>
      </c>
    </row>
    <row r="6" ht="30" customHeight="1">
      <c r="A6" s="19" t="inlineStr">
        <is>
          <t>KASHA: Women's Financial Inclusion</t>
        </is>
      </c>
      <c r="B6" s="19" t="inlineStr">
        <is>
          <t>Sarah Mwangi</t>
        </is>
      </c>
      <c r="C6" s="19" t="inlineStr">
        <is>
          <t>HEMP</t>
        </is>
      </c>
      <c r="D6" s="19" t="inlineStr">
        <is>
          <t>12,000 women empowered, $2.3M revenue</t>
        </is>
      </c>
    </row>
    <row r="7" ht="30" customHeight="1">
      <c r="A7" s="19" t="inlineStr">
        <is>
          <t>CRA Health Systems: Policy Influence</t>
        </is>
      </c>
      <c r="B7" s="19" t="inlineStr">
        <is>
          <t>Dr. Peter Kamau</t>
        </is>
      </c>
      <c r="C7" s="19" t="inlineStr">
        <is>
          <t>HECO</t>
        </is>
      </c>
      <c r="D7" s="19" t="inlineStr">
        <is>
          <t>2 policy changes influenced, 156K lives impacted</t>
        </is>
      </c>
    </row>
    <row r="9">
      <c r="A9" s="5" t="inlineStr">
        <is>
          <t>Case Study Categories</t>
        </is>
      </c>
    </row>
    <row r="10">
      <c r="A10" s="11" t="inlineStr">
        <is>
          <t>Category</t>
        </is>
      </c>
      <c r="B10" s="11" t="inlineStr">
        <is>
          <t>Count</t>
        </is>
      </c>
      <c r="C10" s="11" t="inlineStr">
        <is>
          <t>Focus Area</t>
        </is>
      </c>
      <c r="D10" s="11" t="inlineStr">
        <is>
          <t>Last Updated</t>
        </is>
      </c>
    </row>
    <row r="11">
      <c r="A11" s="13" t="inlineStr">
        <is>
          <t>Founder Success Stories</t>
        </is>
      </c>
      <c r="B11" s="16" t="n">
        <v>8</v>
      </c>
      <c r="C11" s="13" t="inlineStr">
        <is>
          <t>Entrepreneurship</t>
        </is>
      </c>
      <c r="D11" s="13" t="inlineStr">
        <is>
          <t>2026-09-18</t>
        </is>
      </c>
    </row>
    <row r="12">
      <c r="A12" s="13" t="inlineStr">
        <is>
          <t>Employment Transformations</t>
        </is>
      </c>
      <c r="B12" s="16" t="n">
        <v>6</v>
      </c>
      <c r="C12" s="13" t="inlineStr">
        <is>
          <t>Youth in Work</t>
        </is>
      </c>
      <c r="D12" s="13" t="inlineStr">
        <is>
          <t>2026-09-18</t>
        </is>
      </c>
    </row>
    <row r="13">
      <c r="A13" s="13" t="inlineStr">
        <is>
          <t>Health System Impact</t>
        </is>
      </c>
      <c r="B13" s="16" t="n">
        <v>4</v>
      </c>
      <c r="C13" s="13" t="inlineStr">
        <is>
          <t>Impact &amp; Scale</t>
        </is>
      </c>
      <c r="D13" s="13" t="inlineStr">
        <is>
          <t>2026-09-18</t>
        </is>
      </c>
    </row>
  </sheetData>
  <mergeCells count="3">
    <mergeCell ref="A1:D1"/>
    <mergeCell ref="A9:D9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2026-09-18T14:49:25Z</dcterms:created>
  <dcterms:modified xsi:type="dcterms:W3CDTF">2026-09-18T15:15:41Z</dcterms:modified>
</cp:coreProperties>
</file>
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t a Glance" sheetId="2" state="visible" r:id="rId2"/>
    <sheet name="Outreach" sheetId="3" state="visible" r:id="rId3"/>
    <sheet name="Youth in Work" sheetId="4" state="visible" r:id="rId4"/>
    <sheet name="Wage Employment" sheetId="5" state="visible" r:id="rId5"/>
    <sheet name="Entrepreneurship" sheetId="6" state="visible" r:id="rId6"/>
    <sheet name="Further Education" sheetId="7" state="visible" r:id="rId7"/>
    <sheet name="Impact Reports" sheetId="8" state="visible" r:id="rId8"/>
    <sheet name="Impact Stori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"/>
    <numFmt numFmtId="168" formatCode="0.0&quot;%&quot;"/>
    <numFmt numFmtId="169" formatCode="0&quot;%&quot;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2"/>
    </font>
    <font>
      <b val="1"/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02C5E"/>
        <bgColor rgb="00102C5E"/>
      </patternFill>
    </fill>
    <fill>
      <patternFill patternType="solid">
        <fgColor rgb="0014306B"/>
        <bgColor rgb="0014306B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0" pivotButton="0" quotePrefix="0" xfId="0"/>
    <xf numFmtId="3" fontId="0" fillId="0" borderId="0" pivotButton="0" quotePrefix="0" xfId="0"/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168" fontId="0" fillId="0" borderId="1" applyAlignment="1" pivotButton="0" quotePrefix="0" xfId="0">
      <alignment horizontal="center"/>
    </xf>
    <xf numFmtId="1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3" fillId="4" borderId="1" pivotButton="0" quotePrefix="0" xfId="0"/>
    <xf numFmtId="0" fontId="0" fillId="0" borderId="1" applyAlignment="1" pivotButton="0" quotePrefix="0" xfId="0">
      <alignment horizontal="left" wrapText="1"/>
    </xf>
    <xf numFmtId="169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25" customHeight="1">
      <c r="A1" s="1" t="inlineStr">
        <is>
          <t>EXECUTIVE DASHBOARD - USER GUIDE</t>
        </is>
      </c>
    </row>
    <row r="3">
      <c r="A3" s="2" t="inlineStr">
        <is>
          <t>Dashboard Overview</t>
        </is>
      </c>
    </row>
    <row r="4">
      <c r="A4" s="3" t="inlineStr">
        <is>
          <t>This workbook provides a comprehensive Executive Dashboard for the CHII programme with 8 key sections:</t>
        </is>
      </c>
    </row>
    <row r="5">
      <c r="A5" s="3" t="inlineStr">
        <is>
          <t>1. At a Glance - High-level KPIs and programme summary</t>
        </is>
      </c>
    </row>
    <row r="6">
      <c r="A6" s="3" t="inlineStr">
        <is>
          <t>2. Outreach - Participation metrics by programme and institution</t>
        </is>
      </c>
    </row>
    <row r="7">
      <c r="A7" s="3" t="inlineStr">
        <is>
          <t>3. Youth in Work - Employment outcomes and pathways</t>
        </is>
      </c>
    </row>
    <row r="8">
      <c r="A8" s="3" t="inlineStr">
        <is>
          <t>4. Wage Employment - Detailed employment quality metrics</t>
        </is>
      </c>
    </row>
    <row r="9">
      <c r="A9" s="3" t="inlineStr">
        <is>
          <t>5. Entrepreneurship - Venture portfolio overview and funding</t>
        </is>
      </c>
    </row>
    <row r="10">
      <c r="A10" s="3" t="inlineStr">
        <is>
          <t>6. Further Education - Knowledge gains and career outcomes</t>
        </is>
      </c>
    </row>
    <row r="11">
      <c r="A11" s="3" t="inlineStr">
        <is>
          <t>7. Impact Reports - Long-term impact and policy influence</t>
        </is>
      </c>
    </row>
    <row r="12">
      <c r="A12" s="3" t="inlineStr">
        <is>
          <t>8. Impact Stories - Qualitative case studies and narratives</t>
        </is>
      </c>
    </row>
    <row r="14">
      <c r="A14" s="2" t="inlineStr">
        <is>
          <t>How to Use This Dashboard</t>
        </is>
      </c>
    </row>
    <row r="15">
      <c r="A15" s="3" t="inlineStr">
        <is>
          <t>1. Each sheet represents one dashboard section</t>
        </is>
      </c>
    </row>
    <row r="16">
      <c r="A16" s="3" t="inlineStr">
        <is>
          <t>2. Update data regularly (weekly for real-time metrics, monthly for full refresh)</t>
        </is>
      </c>
    </row>
    <row r="17">
      <c r="A17" s="3" t="inlineStr">
        <is>
          <t>3. All metrics feed from the Consolidated_MELA_Workbook data entry system</t>
        </is>
      </c>
    </row>
    <row r="18">
      <c r="A18" s="3" t="inlineStr">
        <is>
          <t>4. Use the 'At a Glance' sheet for executive summaries</t>
        </is>
      </c>
    </row>
    <row r="19">
      <c r="A19" s="3" t="inlineStr">
        <is>
          <t>5. Drill down into specific sections for detailed analysis</t>
        </is>
      </c>
    </row>
    <row r="21">
      <c r="A21" s="2" t="inlineStr">
        <is>
          <t>Data Sources</t>
        </is>
      </c>
    </row>
    <row r="22">
      <c r="A22" t="inlineStr">
        <is>
          <t>This dashboard pulls data from:</t>
        </is>
      </c>
    </row>
    <row r="23">
      <c r="A23" t="inlineStr">
        <is>
          <t>- Consolidated_MELA_Workbook.xlsx (data entry system)</t>
        </is>
      </c>
    </row>
    <row r="24">
      <c r="A24" t="inlineStr">
        <is>
          <t>- All 15 data collection sheets feed into dashboard metrics</t>
        </is>
      </c>
    </row>
    <row r="25">
      <c r="A25" t="inlineStr">
        <is>
          <t>- Monthly updates recommended for accuracy</t>
        </is>
      </c>
    </row>
  </sheetData>
  <mergeCells count="2">
    <mergeCell ref="A1:D1"/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5" customHeight="1">
      <c r="A1" s="4" t="inlineStr">
        <is>
          <t>EXECUTIVE DASHBOARD - AT A GLANCE (2026)</t>
        </is>
      </c>
    </row>
    <row r="3" ht="20" customHeight="1">
      <c r="A3" s="5" t="inlineStr">
        <is>
          <t>Key Performance Indicators</t>
        </is>
      </c>
    </row>
    <row r="4">
      <c r="A4" s="20" t="inlineStr">
        <is>
          <t>Metric</t>
        </is>
      </c>
      <c r="B4" s="20" t="inlineStr">
        <is>
          <t>2024 Actual</t>
        </is>
      </c>
      <c r="C4" s="20" t="inlineStr">
        <is>
          <t>2025 Target</t>
        </is>
      </c>
      <c r="D4" s="20" t="inlineStr">
        <is>
          <t>2026 Target</t>
        </is>
      </c>
      <c r="E4" s="20" t="inlineStr">
        <is>
          <t>Current (Q3)</t>
        </is>
      </c>
      <c r="F4" s="20" t="inlineStr">
        <is>
          <t>Achievement %</t>
        </is>
      </c>
      <c r="G4" s="20" t="inlineStr">
        <is>
          <t>Notes</t>
        </is>
      </c>
    </row>
    <row r="5">
      <c r="A5" s="7" t="inlineStr">
        <is>
          <t>Total Participants Reached</t>
        </is>
      </c>
      <c r="B5" s="8" t="n">
        <v>38000</v>
      </c>
      <c r="C5" s="8" t="n">
        <v>42000</v>
      </c>
      <c r="D5" s="8" t="n">
        <v>45000</v>
      </c>
      <c r="E5" s="8" t="n">
        <v>45320</v>
      </c>
      <c r="F5" s="21">
        <f>E5/D5*100</f>
        <v/>
      </c>
      <c r="G5" s="10" t="inlineStr">
        <is>
          <t>HEMP, HENT, HECO combined</t>
        </is>
      </c>
    </row>
    <row r="6">
      <c r="A6" s="7" t="inlineStr">
        <is>
          <t>Total Ventures in Portfolio</t>
        </is>
      </c>
      <c r="B6" s="8" t="n">
        <v>82</v>
      </c>
      <c r="C6" s="8" t="n">
        <v>88</v>
      </c>
      <c r="D6" s="8" t="n">
        <v>96</v>
      </c>
      <c r="E6" s="8" t="n">
        <v>96</v>
      </c>
      <c r="F6" s="21">
        <f>E6/D6*100</f>
        <v/>
      </c>
      <c r="G6" s="10" t="inlineStr">
        <is>
          <t>Across 5 cohorts</t>
        </is>
      </c>
    </row>
    <row r="7">
      <c r="A7" s="7" t="inlineStr">
        <is>
          <t>Revenue-Generating Ventures (%)</t>
        </is>
      </c>
      <c r="B7" s="22" t="n">
        <v>55</v>
      </c>
      <c r="C7" s="22" t="n">
        <v>62</v>
      </c>
      <c r="D7" s="22" t="n">
        <v>70</v>
      </c>
      <c r="E7" s="22" t="n">
        <v>67</v>
      </c>
      <c r="F7" s="21">
        <f>E7/D7*100</f>
        <v/>
      </c>
      <c r="G7" s="10" t="inlineStr">
        <is>
          <t>% of total ventures</t>
        </is>
      </c>
    </row>
    <row r="8">
      <c r="A8" s="7" t="inlineStr">
        <is>
          <t>Total Funding Raised (USD M)</t>
        </is>
      </c>
      <c r="B8" s="23" t="n">
        <v>6.2</v>
      </c>
      <c r="C8" s="23" t="n">
        <v>7</v>
      </c>
      <c r="D8" s="23" t="n">
        <v>8.5</v>
      </c>
      <c r="E8" s="23" t="n">
        <v>8.199999999999999</v>
      </c>
      <c r="F8" s="21">
        <f>E8/D8*100</f>
        <v/>
      </c>
      <c r="G8" s="10" t="inlineStr">
        <is>
          <t>External + HENT funded</t>
        </is>
      </c>
    </row>
    <row r="9">
      <c r="A9" s="7" t="inlineStr">
        <is>
          <t>Total Jobs Created</t>
        </is>
      </c>
      <c r="B9" s="8" t="n">
        <v>920</v>
      </c>
      <c r="C9" s="8" t="n">
        <v>1050</v>
      </c>
      <c r="D9" s="8" t="n">
        <v>1200</v>
      </c>
      <c r="E9" s="8" t="n">
        <v>1245</v>
      </c>
      <c r="F9" s="21">
        <f>E9/D9*100</f>
        <v/>
      </c>
      <c r="G9" s="10" t="inlineStr">
        <is>
          <t>Cumulative across ventures</t>
        </is>
      </c>
    </row>
    <row r="10">
      <c r="A10" s="7" t="inlineStr">
        <is>
          <t>Employment Rate (%)</t>
        </is>
      </c>
      <c r="B10" s="22" t="n">
        <v>58</v>
      </c>
      <c r="C10" s="22" t="n">
        <v>63</v>
      </c>
      <c r="D10" s="22" t="n">
        <v>70</v>
      </c>
      <c r="E10" s="22" t="n">
        <v>68</v>
      </c>
      <c r="F10" s="21">
        <f>E10/D10*100</f>
        <v/>
      </c>
      <c r="G10" s="10" t="inlineStr">
        <is>
          <t>% of graduates employed</t>
        </is>
      </c>
    </row>
    <row r="11">
      <c r="A11" s="7" t="inlineStr">
        <is>
          <t>Women-led Ventures (%)</t>
        </is>
      </c>
      <c r="B11" s="22" t="n">
        <v>35</v>
      </c>
      <c r="C11" s="22" t="n">
        <v>38</v>
      </c>
      <c r="D11" s="22" t="n">
        <v>42</v>
      </c>
      <c r="E11" s="22" t="n">
        <v>40</v>
      </c>
      <c r="F11" s="21">
        <f>E11/D11*100</f>
        <v/>
      </c>
      <c r="G11" s="10" t="inlineStr">
        <is>
          <t>% of venture portfolio</t>
        </is>
      </c>
    </row>
    <row r="12">
      <c r="A12" s="7" t="inlineStr">
        <is>
          <t>Female Participant Rate (%)</t>
        </is>
      </c>
      <c r="B12" s="22" t="n">
        <v>48</v>
      </c>
      <c r="C12" s="22" t="n">
        <v>50</v>
      </c>
      <c r="D12" s="22" t="n">
        <v>55</v>
      </c>
      <c r="E12" s="22" t="n">
        <v>52</v>
      </c>
      <c r="F12" s="21">
        <f>E12/D12*100</f>
        <v/>
      </c>
      <c r="G12" s="10" t="inlineStr">
        <is>
          <t>All programmes combined</t>
        </is>
      </c>
    </row>
    <row r="13">
      <c r="A13" s="7" t="inlineStr">
        <is>
          <t>Health System Actors (Count)</t>
        </is>
      </c>
      <c r="B13" s="8" t="n">
        <v>65</v>
      </c>
      <c r="C13" s="8" t="n">
        <v>85</v>
      </c>
      <c r="D13" s="8" t="n">
        <v>110</v>
      </c>
      <c r="E13" s="8" t="n">
        <v>101</v>
      </c>
      <c r="F13" s="21">
        <f>E13/D13*100</f>
        <v/>
      </c>
      <c r="G13" s="10" t="inlineStr">
        <is>
          <t>Using HENT solutions</t>
        </is>
      </c>
    </row>
    <row r="14">
      <c r="A14" s="7" t="inlineStr">
        <is>
          <t>Lives Impacted (Est. Count)</t>
        </is>
      </c>
      <c r="B14" s="8" t="n">
        <v>180000</v>
      </c>
      <c r="C14" s="8" t="n">
        <v>220000</v>
      </c>
      <c r="D14" s="8" t="n">
        <v>300000</v>
      </c>
      <c r="E14" s="8" t="n">
        <v>288000</v>
      </c>
      <c r="F14" s="21">
        <f>E14/D14*100</f>
        <v/>
      </c>
      <c r="G14" s="10" t="inlineStr">
        <is>
          <t>By HENT health innovations</t>
        </is>
      </c>
    </row>
    <row r="15">
      <c r="A15" s="7" t="inlineStr">
        <is>
          <t>Active Research Partnerships</t>
        </is>
      </c>
      <c r="B15" s="8" t="n">
        <v>8</v>
      </c>
      <c r="C15" s="8" t="n">
        <v>10</v>
      </c>
      <c r="D15" s="8" t="n">
        <v>12</v>
      </c>
      <c r="E15" s="8" t="n">
        <v>12</v>
      </c>
      <c r="F15" s="21">
        <f>E15/D15*100</f>
        <v/>
      </c>
      <c r="G15" s="10" t="inlineStr">
        <is>
          <t>Formal MOUs signed</t>
        </is>
      </c>
    </row>
    <row r="16">
      <c r="A16" s="7" t="inlineStr">
        <is>
          <t>Policy Changes Influenced</t>
        </is>
      </c>
      <c r="B16" s="8" t="n">
        <v>1</v>
      </c>
      <c r="C16" s="8" t="n">
        <v>2</v>
      </c>
      <c r="D16" s="8" t="n">
        <v>3</v>
      </c>
      <c r="E16" s="8" t="n">
        <v>3</v>
      </c>
      <c r="F16" s="21">
        <f>E16/D16*100</f>
        <v/>
      </c>
      <c r="G16" s="10" t="inlineStr">
        <is>
          <t>Government adopted</t>
        </is>
      </c>
    </row>
    <row r="18" ht="20" customHeight="1">
      <c r="A18" s="5" t="inlineStr">
        <is>
          <t>Performance Summary by Category</t>
        </is>
      </c>
    </row>
    <row r="19">
      <c r="A19" s="24" t="inlineStr">
        <is>
          <t>Category</t>
        </is>
      </c>
      <c r="B19" s="24" t="inlineStr">
        <is>
          <t>Target Achievement</t>
        </is>
      </c>
      <c r="C19" s="24" t="inlineStr">
        <is>
          <t>vs. 2025</t>
        </is>
      </c>
      <c r="D19" s="24" t="inlineStr">
        <is>
          <t>Quarterly Progress</t>
        </is>
      </c>
      <c r="E19" s="24" t="inlineStr">
        <is>
          <t>Key Insight</t>
        </is>
      </c>
    </row>
    <row r="20">
      <c r="A20" s="25" t="inlineStr">
        <is>
          <t>Reach &amp; Participation</t>
        </is>
      </c>
      <c r="B20" s="26" t="inlineStr">
        <is>
          <t>100.7%</t>
        </is>
      </c>
      <c r="C20" s="27" t="inlineStr">
        <is>
          <t>+3.3K participants</t>
        </is>
      </c>
      <c r="D20" s="27" t="inlineStr">
        <is>
          <t>Q3: 34.5K cumulative</t>
        </is>
      </c>
      <c r="E20" s="25" t="inlineStr">
        <is>
          <t>Strong growth across all pillars</t>
        </is>
      </c>
    </row>
    <row r="21">
      <c r="A21" s="25" t="inlineStr">
        <is>
          <t>Venture Portfolio</t>
        </is>
      </c>
      <c r="B21" s="26" t="inlineStr">
        <is>
          <t>100%</t>
        </is>
      </c>
      <c r="C21" s="27" t="inlineStr">
        <is>
          <t>8 new ventures</t>
        </is>
      </c>
      <c r="D21" s="27" t="inlineStr">
        <is>
          <t>On track for year-end</t>
        </is>
      </c>
      <c r="E21" s="25" t="inlineStr">
        <is>
          <t>Stable cohort pipeline</t>
        </is>
      </c>
    </row>
    <row r="22">
      <c r="A22" s="25" t="inlineStr">
        <is>
          <t>Employment Outcomes</t>
        </is>
      </c>
      <c r="B22" s="26" t="inlineStr">
        <is>
          <t>97%</t>
        </is>
      </c>
      <c r="C22" s="27" t="inlineStr">
        <is>
          <t>+205 jobs</t>
        </is>
      </c>
      <c r="D22" s="27" t="inlineStr">
        <is>
          <t>Q3: 980 placed</t>
        </is>
      </c>
      <c r="E22" s="25" t="inlineStr">
        <is>
          <t>Wage employment driving growth</t>
        </is>
      </c>
    </row>
    <row r="23">
      <c r="A23" s="25" t="inlineStr">
        <is>
          <t>Funding Mobilization</t>
        </is>
      </c>
      <c r="B23" s="26" t="inlineStr">
        <is>
          <t>96.5%</t>
        </is>
      </c>
      <c r="C23" s="27" t="inlineStr">
        <is>
          <t>+1.2M USD</t>
        </is>
      </c>
      <c r="D23" s="27" t="inlineStr">
        <is>
          <t>Q3: 6.8M mobilized</t>
        </is>
      </c>
      <c r="E23" s="25" t="inlineStr">
        <is>
          <t>External funding increasing</t>
        </is>
      </c>
    </row>
    <row r="24">
      <c r="A24" s="25" t="inlineStr">
        <is>
          <t>Health System Impact</t>
        </is>
      </c>
      <c r="B24" s="26" t="inlineStr">
        <is>
          <t>96%</t>
        </is>
      </c>
      <c r="C24" s="27" t="inlineStr">
        <is>
          <t>+16 new actors</t>
        </is>
      </c>
      <c r="D24" s="27" t="inlineStr">
        <is>
          <t>Q3: 85 actors active</t>
        </is>
      </c>
      <c r="E24" s="25" t="inlineStr">
        <is>
          <t>Policy adoption accelerating</t>
        </is>
      </c>
    </row>
    <row r="26" ht="20" customHeight="1">
      <c r="A26" s="5" t="inlineStr">
        <is>
          <t>Quarterly Progress (2026)</t>
        </is>
      </c>
    </row>
    <row r="27">
      <c r="A27" s="24" t="inlineStr">
        <is>
          <t>Metric</t>
        </is>
      </c>
      <c r="B27" s="24" t="inlineStr">
        <is>
          <t>Q1 Actual</t>
        </is>
      </c>
      <c r="C27" s="24" t="inlineStr">
        <is>
          <t>Q2 Actual</t>
        </is>
      </c>
      <c r="D27" s="24" t="inlineStr">
        <is>
          <t>Q3 Actual</t>
        </is>
      </c>
      <c r="E27" s="24" t="inlineStr">
        <is>
          <t>Q4 Target</t>
        </is>
      </c>
      <c r="F27" s="24" t="inlineStr">
        <is>
          <t>Full Year Target</t>
        </is>
      </c>
    </row>
    <row r="28">
      <c r="A28" s="7" t="inlineStr">
        <is>
          <t>Participants (Cumulative)</t>
        </is>
      </c>
      <c r="B28" s="8" t="n">
        <v>10500</v>
      </c>
      <c r="C28" s="8" t="n">
        <v>22800</v>
      </c>
      <c r="D28" s="8" t="n">
        <v>34500</v>
      </c>
      <c r="E28" s="8" t="n">
        <v>45000</v>
      </c>
      <c r="F28" s="8" t="n">
        <v>45000</v>
      </c>
    </row>
    <row r="29">
      <c r="A29" s="7" t="inlineStr">
        <is>
          <t>New Ventures Identified</t>
        </is>
      </c>
      <c r="B29" s="8" t="n">
        <v>18</v>
      </c>
      <c r="C29" s="8" t="n">
        <v>24</v>
      </c>
      <c r="D29" s="8" t="n">
        <v>30</v>
      </c>
      <c r="E29" s="8" t="n">
        <v>36</v>
      </c>
      <c r="F29" s="8" t="n">
        <v>96</v>
      </c>
    </row>
    <row r="30">
      <c r="A30" s="7" t="inlineStr">
        <is>
          <t>Employment Placements</t>
        </is>
      </c>
      <c r="B30" s="8" t="n">
        <v>340</v>
      </c>
      <c r="C30" s="8" t="n">
        <v>680</v>
      </c>
      <c r="D30" s="8" t="n">
        <v>980</v>
      </c>
      <c r="E30" s="8" t="n">
        <v>1200</v>
      </c>
      <c r="F30" s="8" t="n">
        <v>1245</v>
      </c>
    </row>
    <row r="31">
      <c r="A31" s="7" t="inlineStr">
        <is>
          <t>Funding Mobilized (USD M)</t>
        </is>
      </c>
      <c r="B31" s="23" t="n">
        <v>1.9</v>
      </c>
      <c r="C31" s="23" t="n">
        <v>4.5</v>
      </c>
      <c r="D31" s="23" t="n">
        <v>6.8</v>
      </c>
      <c r="E31" s="23" t="n">
        <v>8.5</v>
      </c>
      <c r="F31" s="23" t="n">
        <v>8.199999999999999</v>
      </c>
    </row>
    <row r="32">
      <c r="A32" s="7" t="inlineStr">
        <is>
          <t>Health Actors Reached</t>
        </is>
      </c>
      <c r="B32" s="8" t="n">
        <v>25</v>
      </c>
      <c r="C32" s="8" t="n">
        <v>58</v>
      </c>
      <c r="D32" s="8" t="n">
        <v>85</v>
      </c>
      <c r="E32" s="8" t="n">
        <v>110</v>
      </c>
      <c r="F32" s="8" t="n">
        <v>101</v>
      </c>
    </row>
  </sheetData>
  <mergeCells count="4">
    <mergeCell ref="A26:F26"/>
    <mergeCell ref="A3:G3"/>
    <mergeCell ref="A18:E18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25" customHeight="1">
      <c r="A1" s="1" t="inlineStr">
        <is>
          <t>OUTREACH - PARTICIPATION METRICS</t>
        </is>
      </c>
    </row>
    <row r="3">
      <c r="A3" s="5" t="inlineStr">
        <is>
          <t>Participants by Programme</t>
        </is>
      </c>
    </row>
    <row r="4">
      <c r="A4" s="11" t="inlineStr">
        <is>
          <t>Programme</t>
        </is>
      </c>
      <c r="B4" s="11" t="inlineStr">
        <is>
          <t>Total Participants</t>
        </is>
      </c>
      <c r="C4" s="11" t="inlineStr">
        <is>
          <t>Female %</t>
        </is>
      </c>
    </row>
    <row r="5">
      <c r="A5" s="12" t="inlineStr">
        <is>
          <t>HEMP</t>
        </is>
      </c>
      <c r="B5" s="12" t="n">
        <v>18000</v>
      </c>
      <c r="C5" s="12" t="n">
        <v>55</v>
      </c>
    </row>
    <row r="6">
      <c r="A6" s="12" t="inlineStr">
        <is>
          <t>HENT</t>
        </is>
      </c>
      <c r="B6" s="12" t="n">
        <v>16500</v>
      </c>
      <c r="C6" s="12" t="n">
        <v>48</v>
      </c>
    </row>
    <row r="7">
      <c r="A7" s="12" t="inlineStr">
        <is>
          <t>HECO</t>
        </is>
      </c>
      <c r="B7" s="12" t="n">
        <v>10820</v>
      </c>
      <c r="C7" s="12" t="n">
        <v>45</v>
      </c>
    </row>
    <row r="11">
      <c r="A11" s="5" t="inlineStr">
        <is>
          <t>Participants by Institution</t>
        </is>
      </c>
    </row>
    <row r="12">
      <c r="A12" s="11" t="inlineStr">
        <is>
          <t>Institution</t>
        </is>
      </c>
      <c r="B12" s="11" t="inlineStr">
        <is>
          <t>Participants</t>
        </is>
      </c>
      <c r="C12" s="11" t="inlineStr">
        <is>
          <t>% of Total</t>
        </is>
      </c>
    </row>
    <row r="13">
      <c r="A13" s="12" t="inlineStr">
        <is>
          <t>ALU</t>
        </is>
      </c>
      <c r="B13" s="12" t="n">
        <v>22000</v>
      </c>
      <c r="C13" s="12">
        <f>A13/45320*100</f>
        <v/>
      </c>
    </row>
    <row r="14">
      <c r="A14" s="12" t="inlineStr">
        <is>
          <t>ALX</t>
        </is>
      </c>
      <c r="B14" s="12" t="n">
        <v>15000</v>
      </c>
      <c r="C14" s="12">
        <f>A14/45320*100</f>
        <v/>
      </c>
    </row>
    <row r="15">
      <c r="A15" s="12" t="inlineStr">
        <is>
          <t>ALCHE</t>
        </is>
      </c>
      <c r="B15" s="12" t="n">
        <v>8320</v>
      </c>
      <c r="C15" s="12">
        <f>A15/45320*100</f>
        <v/>
      </c>
    </row>
  </sheetData>
  <mergeCells count="3">
    <mergeCell ref="A3:C3"/>
    <mergeCell ref="A1:F1"/>
    <mergeCell ref="A11:C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5" customHeight="1">
      <c r="A1" s="1" t="inlineStr">
        <is>
          <t>EMPLOYMENT OUTCOMES - YOUTH IN WORK</t>
        </is>
      </c>
    </row>
    <row r="3">
      <c r="A3" s="5" t="inlineStr">
        <is>
          <t>Employment Pathway Distribution</t>
        </is>
      </c>
    </row>
    <row r="4">
      <c r="A4" s="11" t="inlineStr">
        <is>
          <t>Pathway</t>
        </is>
      </c>
      <c r="B4" s="11" t="inlineStr">
        <is>
          <t>Count</t>
        </is>
      </c>
      <c r="C4" s="11" t="inlineStr">
        <is>
          <t>% of Total</t>
        </is>
      </c>
      <c r="D4" s="11" t="inlineStr">
        <is>
          <t>Notes</t>
        </is>
      </c>
    </row>
    <row r="5">
      <c r="A5" s="13" t="inlineStr">
        <is>
          <t>Wage Employment</t>
        </is>
      </c>
      <c r="B5" s="12" t="n">
        <v>1428</v>
      </c>
      <c r="C5" s="14">
        <f>B5/2100*100</f>
        <v/>
      </c>
      <c r="D5" s="13" t="inlineStr">
        <is>
          <t>Full-time &amp; part-time roles</t>
        </is>
      </c>
    </row>
    <row r="6">
      <c r="A6" s="13" t="inlineStr">
        <is>
          <t>Enterprise/Self-employment</t>
        </is>
      </c>
      <c r="B6" s="12" t="n">
        <v>525</v>
      </c>
      <c r="C6" s="14">
        <f>B6/2100*100</f>
        <v/>
      </c>
      <c r="D6" s="13" t="inlineStr">
        <is>
          <t>Founder/co-founder</t>
        </is>
      </c>
    </row>
    <row r="7">
      <c r="A7" s="13" t="inlineStr">
        <is>
          <t>Freelance</t>
        </is>
      </c>
      <c r="B7" s="12" t="n">
        <v>98</v>
      </c>
      <c r="C7" s="14">
        <f>B7/2100*100</f>
        <v/>
      </c>
      <c r="D7" s="13" t="inlineStr">
        <is>
          <t>Contract/gig work</t>
        </is>
      </c>
    </row>
    <row r="8">
      <c r="A8" s="13" t="inlineStr">
        <is>
          <t>Internship</t>
        </is>
      </c>
      <c r="B8" s="12" t="n">
        <v>49</v>
      </c>
      <c r="C8" s="14">
        <f>B8/2100*100</f>
        <v/>
      </c>
      <c r="D8" s="13" t="inlineStr">
        <is>
          <t>Post-programme internships</t>
        </is>
      </c>
    </row>
    <row r="10">
      <c r="A10" s="5" t="inlineStr">
        <is>
          <t>Employment Quality</t>
        </is>
      </c>
    </row>
    <row r="11">
      <c r="A11" s="11" t="inlineStr">
        <is>
          <t>Metric</t>
        </is>
      </c>
      <c r="B11" s="11" t="inlineStr">
        <is>
          <t>Value</t>
        </is>
      </c>
      <c r="C11" s="11" t="inlineStr">
        <is>
          <t>Status</t>
        </is>
      </c>
      <c r="D11" s="11" t="inlineStr">
        <is>
          <t>Notes</t>
        </is>
      </c>
    </row>
    <row r="12">
      <c r="A12" s="13" t="inlineStr">
        <is>
          <t>Avg Annual Salary (USD)</t>
        </is>
      </c>
      <c r="B12" s="15" t="n">
        <v>18000</v>
      </c>
      <c r="C12" s="13" t="inlineStr">
        <is>
          <t>On Target</t>
        </is>
      </c>
      <c r="D12" s="13" t="inlineStr">
        <is>
          <t>Varies by sector</t>
        </is>
      </c>
    </row>
    <row r="13">
      <c r="A13" s="13" t="inlineStr">
        <is>
          <t>Female Employment Rate (%)</t>
        </is>
      </c>
      <c r="B13" s="16" t="n">
        <v>68</v>
      </c>
      <c r="C13" s="13" t="inlineStr">
        <is>
          <t>Above Target</t>
        </is>
      </c>
      <c r="D13" s="13" t="inlineStr">
        <is>
          <t>Strong performance</t>
        </is>
      </c>
    </row>
    <row r="14">
      <c r="A14" s="13" t="inlineStr">
        <is>
          <t>Youth Employment Rate (%)</t>
        </is>
      </c>
      <c r="B14" s="16" t="n">
        <v>65</v>
      </c>
      <c r="C14" s="13" t="inlineStr">
        <is>
          <t>On Target</t>
        </is>
      </c>
      <c r="D14" s="13" t="inlineStr">
        <is>
          <t>Youth &lt;35</t>
        </is>
      </c>
    </row>
  </sheetData>
  <mergeCells count="3">
    <mergeCell ref="A1:D1"/>
    <mergeCell ref="A3:D3"/>
    <mergeCell ref="A10:D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" t="inlineStr">
        <is>
          <t>WAGE EMPLOYMENT - DETAILED METRICS</t>
        </is>
      </c>
    </row>
    <row r="3">
      <c r="A3" s="5" t="inlineStr">
        <is>
          <t>Employment Type Distribution</t>
        </is>
      </c>
    </row>
    <row r="4">
      <c r="A4" s="11" t="inlineStr">
        <is>
          <t>Employment Type</t>
        </is>
      </c>
      <c r="B4" s="11" t="inlineStr">
        <is>
          <t>Count</t>
        </is>
      </c>
      <c r="C4" s="11" t="inlineStr">
        <is>
          <t>% of Wage</t>
        </is>
      </c>
      <c r="D4" s="11" t="inlineStr">
        <is>
          <t>Avg Salary (USD)</t>
        </is>
      </c>
      <c r="E4" s="11" t="inlineStr">
        <is>
          <t>Notes</t>
        </is>
      </c>
    </row>
    <row r="5">
      <c r="A5" s="13" t="inlineStr">
        <is>
          <t>Full-time</t>
        </is>
      </c>
      <c r="B5" s="12" t="n">
        <v>1000</v>
      </c>
      <c r="C5" s="14">
        <f>B5/1428*100</f>
        <v/>
      </c>
      <c r="D5" s="12" t="n">
        <v>22000</v>
      </c>
      <c r="E5" s="13" t="inlineStr">
        <is>
          <t>Permanent positions</t>
        </is>
      </c>
    </row>
    <row r="6">
      <c r="A6" s="13" t="inlineStr">
        <is>
          <t>Part-time</t>
        </is>
      </c>
      <c r="B6" s="12" t="n">
        <v>320</v>
      </c>
      <c r="C6" s="14">
        <f>B6/1428*100</f>
        <v/>
      </c>
      <c r="D6" s="12" t="n">
        <v>12000</v>
      </c>
      <c r="E6" s="13" t="inlineStr">
        <is>
          <t>Flexible arrangement</t>
        </is>
      </c>
    </row>
    <row r="7">
      <c r="A7" s="13" t="inlineStr">
        <is>
          <t>Contract</t>
        </is>
      </c>
      <c r="B7" s="12" t="n">
        <v>108</v>
      </c>
      <c r="C7" s="14">
        <f>B7/1428*100</f>
        <v/>
      </c>
      <c r="D7" s="12" t="n">
        <v>16000</v>
      </c>
      <c r="E7" s="13" t="inlineStr">
        <is>
          <t>Fixed-term contracts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5" customHeight="1">
      <c r="A1" s="1" t="inlineStr">
        <is>
          <t>ENTREPRENEURSHIP - VENTURE PORTFOLIO</t>
        </is>
      </c>
    </row>
    <row r="3">
      <c r="A3" s="5" t="inlineStr">
        <is>
          <t>Venture Portfolio Overview</t>
        </is>
      </c>
    </row>
    <row r="4">
      <c r="A4" s="11" t="inlineStr">
        <is>
          <t>Stage</t>
        </is>
      </c>
      <c r="B4" s="11" t="inlineStr">
        <is>
          <t>Count</t>
        </is>
      </c>
      <c r="C4" s="11" t="inlineStr">
        <is>
          <t>Revenue Generating</t>
        </is>
      </c>
      <c r="D4" s="11" t="inlineStr">
        <is>
          <t>Avg Funding (USD)</t>
        </is>
      </c>
      <c r="E4" s="11" t="inlineStr">
        <is>
          <t>Jobs Created</t>
        </is>
      </c>
      <c r="F4" s="11" t="inlineStr">
        <is>
          <t>% Women-led</t>
        </is>
      </c>
    </row>
    <row r="5">
      <c r="A5" s="13" t="inlineStr">
        <is>
          <t>Ideation</t>
        </is>
      </c>
      <c r="B5" s="12" t="n">
        <v>12</v>
      </c>
      <c r="C5" s="12" t="n">
        <v>0</v>
      </c>
      <c r="D5" s="12" t="n">
        <v>0</v>
      </c>
      <c r="E5" s="12" t="n">
        <v>0</v>
      </c>
      <c r="F5" s="16" t="n">
        <v>42</v>
      </c>
    </row>
    <row r="6">
      <c r="A6" s="13" t="inlineStr">
        <is>
          <t>Validation</t>
        </is>
      </c>
      <c r="B6" s="12" t="n">
        <v>15</v>
      </c>
      <c r="C6" s="12" t="n">
        <v>2</v>
      </c>
      <c r="D6" s="12" t="n">
        <v>12000</v>
      </c>
      <c r="E6" s="12" t="n">
        <v>5</v>
      </c>
      <c r="F6" s="16" t="n">
        <v>47</v>
      </c>
    </row>
    <row r="7">
      <c r="A7" s="13" t="inlineStr">
        <is>
          <t>Prototype/MVP</t>
        </is>
      </c>
      <c r="B7" s="12" t="n">
        <v>18</v>
      </c>
      <c r="C7" s="12" t="n">
        <v>8</v>
      </c>
      <c r="D7" s="12" t="n">
        <v>25000</v>
      </c>
      <c r="E7" s="12" t="n">
        <v>24</v>
      </c>
      <c r="F7" s="16" t="n">
        <v>44</v>
      </c>
    </row>
    <row r="8">
      <c r="A8" s="13" t="inlineStr">
        <is>
          <t>Early Growth</t>
        </is>
      </c>
      <c r="B8" s="12" t="n">
        <v>30</v>
      </c>
      <c r="C8" s="12" t="n">
        <v>22</v>
      </c>
      <c r="D8" s="12" t="n">
        <v>52000</v>
      </c>
      <c r="E8" s="12" t="n">
        <v>180</v>
      </c>
      <c r="F8" s="16" t="n">
        <v>40</v>
      </c>
    </row>
    <row r="9">
      <c r="A9" s="13" t="inlineStr">
        <is>
          <t>Scaling</t>
        </is>
      </c>
      <c r="B9" s="12" t="n">
        <v>15</v>
      </c>
      <c r="C9" s="12" t="n">
        <v>14</v>
      </c>
      <c r="D9" s="12" t="n">
        <v>85000</v>
      </c>
      <c r="E9" s="12" t="n">
        <v>720</v>
      </c>
      <c r="F9" s="16" t="n">
        <v>35</v>
      </c>
    </row>
    <row r="10">
      <c r="A10" s="13" t="inlineStr">
        <is>
          <t>Investment/Funding</t>
        </is>
      </c>
      <c r="B10" s="12" t="n">
        <v>6</v>
      </c>
      <c r="C10" s="12" t="n">
        <v>5</v>
      </c>
      <c r="D10" s="12" t="n">
        <v>180000</v>
      </c>
      <c r="E10" s="12" t="n">
        <v>315</v>
      </c>
      <c r="F10" s="16" t="n">
        <v>33</v>
      </c>
    </row>
    <row r="12">
      <c r="A12" s="5" t="inlineStr">
        <is>
          <t>Funding &amp; Revenue Metrics</t>
        </is>
      </c>
    </row>
    <row r="13">
      <c r="A13" s="11" t="inlineStr">
        <is>
          <t>Metric</t>
        </is>
      </c>
      <c r="B13" s="11" t="inlineStr">
        <is>
          <t>Value</t>
        </is>
      </c>
      <c r="C13" s="11" t="inlineStr">
        <is>
          <t>Status</t>
        </is>
      </c>
      <c r="D13" s="11" t="inlineStr">
        <is>
          <t>Target</t>
        </is>
      </c>
      <c r="E13" s="11" t="inlineStr">
        <is>
          <t>Variance</t>
        </is>
      </c>
      <c r="F13" s="11" t="inlineStr">
        <is>
          <t>Notes</t>
        </is>
      </c>
    </row>
    <row r="14">
      <c r="A14" s="13" t="inlineStr">
        <is>
          <t>Total Funding Raised (USD M)</t>
        </is>
      </c>
      <c r="B14" s="17" t="n">
        <v>8.199999999999999</v>
      </c>
      <c r="C14" s="13" t="inlineStr">
        <is>
          <t>On Track</t>
        </is>
      </c>
      <c r="D14" s="13" t="n">
        <v>7.5</v>
      </c>
      <c r="E14" s="13">
        <f>B15-D15</f>
        <v/>
      </c>
      <c r="F14" s="13" t="inlineStr">
        <is>
          <t>Exceeded target</t>
        </is>
      </c>
    </row>
    <row r="15">
      <c r="A15" s="13" t="inlineStr">
        <is>
          <t>Total Revenue (USD M)</t>
        </is>
      </c>
      <c r="B15" s="17" t="n">
        <v>3.5</v>
      </c>
      <c r="C15" s="13" t="inlineStr">
        <is>
          <t>On Track</t>
        </is>
      </c>
      <c r="D15" s="13" t="n">
        <v>3</v>
      </c>
      <c r="E15" s="13">
        <f>B16-D16</f>
        <v/>
      </c>
      <c r="F15" s="13" t="inlineStr">
        <is>
          <t>Strong performance</t>
        </is>
      </c>
    </row>
    <row r="16">
      <c r="A16" s="13" t="inlineStr">
        <is>
          <t>% Revenue-generating Ventures</t>
        </is>
      </c>
      <c r="B16" s="16" t="n">
        <v>67</v>
      </c>
      <c r="C16" s="13" t="inlineStr">
        <is>
          <t>On Track</t>
        </is>
      </c>
      <c r="D16" s="16" t="n">
        <v>60</v>
      </c>
      <c r="E16" s="16">
        <f>B17-D17</f>
        <v/>
      </c>
      <c r="F16" s="13" t="inlineStr">
        <is>
          <t>Above 60% target</t>
        </is>
      </c>
    </row>
  </sheetData>
  <mergeCells count="3">
    <mergeCell ref="A3:F3"/>
    <mergeCell ref="A1:F1"/>
    <mergeCell ref="A12:F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" t="inlineStr">
        <is>
          <t>FURTHER EDUCATION - LEARNING OUTCOMES</t>
        </is>
      </c>
    </row>
    <row r="3">
      <c r="A3" s="5" t="inlineStr">
        <is>
          <t>Knowledge &amp; Skill Development</t>
        </is>
      </c>
    </row>
    <row r="4">
      <c r="A4" s="11" t="inlineStr">
        <is>
          <t>Outcome Metric</t>
        </is>
      </c>
      <c r="B4" s="11" t="inlineStr">
        <is>
          <t>Baseline</t>
        </is>
      </c>
      <c r="C4" s="11" t="inlineStr">
        <is>
          <t>Post-Programme</t>
        </is>
      </c>
      <c r="D4" s="11" t="inlineStr">
        <is>
          <t>Improvement %</t>
        </is>
      </c>
      <c r="E4" s="11" t="inlineStr">
        <is>
          <t>Target</t>
        </is>
      </c>
    </row>
    <row r="5">
      <c r="A5" s="14" t="inlineStr">
        <is>
          <t>Knowledge Score (avg %)</t>
        </is>
      </c>
      <c r="B5" s="16" t="n">
        <v>58</v>
      </c>
      <c r="C5" s="16" t="n">
        <v>79</v>
      </c>
      <c r="D5" s="14">
        <f>((B5-C5)/B5)*100</f>
        <v/>
      </c>
      <c r="E5" s="16" t="n">
        <v>70</v>
      </c>
    </row>
    <row r="6">
      <c r="A6" s="14" t="inlineStr">
        <is>
          <t>Financial Literacy Confidence</t>
        </is>
      </c>
      <c r="B6" s="16" t="n">
        <v>6.2</v>
      </c>
      <c r="C6" s="16" t="n">
        <v>8.1</v>
      </c>
      <c r="D6" s="14">
        <f>((C6-B6)/B6)*100</f>
        <v/>
      </c>
      <c r="E6" s="16" t="n">
        <v>7.5</v>
      </c>
    </row>
    <row r="7">
      <c r="A7" s="14" t="inlineStr">
        <is>
          <t>Leadership Self-Assessment</t>
        </is>
      </c>
      <c r="B7" s="16" t="n">
        <v>62</v>
      </c>
      <c r="C7" s="16" t="n">
        <v>78</v>
      </c>
      <c r="D7" s="14">
        <f>((C7-B7)/B7)*100</f>
        <v/>
      </c>
      <c r="E7" s="16" t="n">
        <v>70</v>
      </c>
    </row>
    <row r="8">
      <c r="A8" s="14" t="inlineStr">
        <is>
          <t>Career Clarity Achieved (%)</t>
        </is>
      </c>
      <c r="B8" s="16" t="n">
        <v>42</v>
      </c>
      <c r="C8" s="16" t="n">
        <v>78</v>
      </c>
      <c r="D8" s="14">
        <f>C8-B8</f>
        <v/>
      </c>
      <c r="E8" s="16" t="n">
        <v>75</v>
      </c>
    </row>
    <row r="10">
      <c r="A10" s="5" t="inlineStr">
        <is>
          <t>Further Study &amp; Career Pathways</t>
        </is>
      </c>
    </row>
    <row r="11">
      <c r="A11" s="11" t="inlineStr">
        <is>
          <t>Career Pathway</t>
        </is>
      </c>
      <c r="B11" s="11" t="inlineStr">
        <is>
          <t>Participants</t>
        </is>
      </c>
      <c r="C11" s="11" t="inlineStr">
        <is>
          <t>% of Cohort</t>
        </is>
      </c>
      <c r="D11" s="11" t="inlineStr">
        <is>
          <t>Satisfaction (0-5)</t>
        </is>
      </c>
      <c r="E11" s="11" t="inlineStr">
        <is>
          <t>Notes</t>
        </is>
      </c>
    </row>
    <row r="12">
      <c r="A12" s="13" t="inlineStr">
        <is>
          <t>Employment (Wage)</t>
        </is>
      </c>
      <c r="B12" s="12" t="n">
        <v>680</v>
      </c>
      <c r="C12" s="14">
        <f>B12/850*100</f>
        <v/>
      </c>
      <c r="D12" s="18" t="n">
        <v>4.2</v>
      </c>
      <c r="E12" s="13" t="inlineStr">
        <is>
          <t>Highest satisfaction</t>
        </is>
      </c>
    </row>
    <row r="13">
      <c r="A13" s="13" t="inlineStr">
        <is>
          <t>Entrepreneurship</t>
        </is>
      </c>
      <c r="B13" s="12" t="n">
        <v>125</v>
      </c>
      <c r="C13" s="14">
        <f>B13/850*100</f>
        <v/>
      </c>
      <c r="D13" s="18" t="n">
        <v>4.5</v>
      </c>
      <c r="E13" s="13" t="inlineStr">
        <is>
          <t>Above average</t>
        </is>
      </c>
    </row>
    <row r="14">
      <c r="A14" s="13" t="inlineStr">
        <is>
          <t>Further Study</t>
        </is>
      </c>
      <c r="B14" s="12" t="n">
        <v>45</v>
      </c>
      <c r="C14" s="14">
        <f>B14/850*100</f>
        <v/>
      </c>
      <c r="D14" s="18" t="n">
        <v>4.3</v>
      </c>
      <c r="E14" s="13" t="inlineStr">
        <is>
          <t>Masters programmes</t>
        </is>
      </c>
    </row>
  </sheetData>
  <mergeCells count="3">
    <mergeCell ref="A1:E1"/>
    <mergeCell ref="A10:E10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" t="inlineStr">
        <is>
          <t>IMPACT REPORTS - LONG-TERM OUTCOMES</t>
        </is>
      </c>
    </row>
    <row r="3">
      <c r="A3" s="5" t="inlineStr">
        <is>
          <t>Health System Adoption</t>
        </is>
      </c>
    </row>
    <row r="4">
      <c r="A4" s="11" t="inlineStr">
        <is>
          <t>Health Actor Type</t>
        </is>
      </c>
      <c r="B4" s="11" t="inlineStr">
        <is>
          <t>Count</t>
        </is>
      </c>
      <c r="C4" s="11" t="inlineStr">
        <is>
          <t>HENT Solutions Adopted</t>
        </is>
      </c>
      <c r="D4" s="11" t="inlineStr">
        <is>
          <t>Lives Impacted (Est.)</t>
        </is>
      </c>
      <c r="E4" s="11" t="inlineStr">
        <is>
          <t>Status</t>
        </is>
      </c>
    </row>
    <row r="5">
      <c r="A5" s="13" t="inlineStr">
        <is>
          <t>Hospitals</t>
        </is>
      </c>
      <c r="B5" s="12" t="n">
        <v>12</v>
      </c>
      <c r="C5" s="12" t="n">
        <v>10</v>
      </c>
      <c r="D5" s="12" t="n">
        <v>48000</v>
      </c>
      <c r="E5" s="13" t="inlineStr">
        <is>
          <t>Active</t>
        </is>
      </c>
    </row>
    <row r="6">
      <c r="A6" s="13" t="inlineStr">
        <is>
          <t>Community Health Centers</t>
        </is>
      </c>
      <c r="B6" s="12" t="n">
        <v>35</v>
      </c>
      <c r="C6" s="12" t="n">
        <v>28</v>
      </c>
      <c r="D6" s="12" t="n">
        <v>156000</v>
      </c>
      <c r="E6" s="13" t="inlineStr">
        <is>
          <t>Active</t>
        </is>
      </c>
    </row>
    <row r="7">
      <c r="A7" s="13" t="inlineStr">
        <is>
          <t>Clinics/Health Posts</t>
        </is>
      </c>
      <c r="B7" s="12" t="n">
        <v>54</v>
      </c>
      <c r="C7" s="12" t="n">
        <v>42</v>
      </c>
      <c r="D7" s="12" t="n">
        <v>84000</v>
      </c>
      <c r="E7" s="13" t="inlineStr">
        <is>
          <t>Active</t>
        </is>
      </c>
    </row>
    <row r="9">
      <c r="A9" s="5" t="inlineStr">
        <is>
          <t>Research &amp; Policy Influence</t>
        </is>
      </c>
    </row>
    <row r="10">
      <c r="A10" s="11" t="inlineStr">
        <is>
          <t>Output Type</t>
        </is>
      </c>
      <c r="B10" s="11" t="inlineStr">
        <is>
          <t>Count</t>
        </is>
      </c>
      <c r="C10" s="11" t="inlineStr">
        <is>
          <t>Year</t>
        </is>
      </c>
      <c r="D10" s="11" t="inlineStr">
        <is>
          <t>Policy Influence</t>
        </is>
      </c>
      <c r="E10" s="11" t="inlineStr">
        <is>
          <t>Notes</t>
        </is>
      </c>
    </row>
    <row r="11">
      <c r="A11" s="13" t="inlineStr">
        <is>
          <t>Publications</t>
        </is>
      </c>
      <c r="B11" s="12" t="n">
        <v>12</v>
      </c>
      <c r="C11" s="13" t="n">
        <v>2026</v>
      </c>
      <c r="D11" s="13" t="inlineStr">
        <is>
          <t>Yes</t>
        </is>
      </c>
      <c r="E11" s="13" t="inlineStr">
        <is>
          <t>Peer-reviewed &amp; media</t>
        </is>
      </c>
    </row>
    <row r="12">
      <c r="A12" s="13" t="inlineStr">
        <is>
          <t>Policy Briefs</t>
        </is>
      </c>
      <c r="B12" s="12" t="n">
        <v>5</v>
      </c>
      <c r="C12" s="13" t="n">
        <v>2026</v>
      </c>
      <c r="D12" s="13" t="inlineStr">
        <is>
          <t>Yes</t>
        </is>
      </c>
      <c r="E12" s="13" t="inlineStr">
        <is>
          <t>Government adoption</t>
        </is>
      </c>
    </row>
    <row r="13">
      <c r="A13" s="13" t="inlineStr">
        <is>
          <t>Research Partnerships</t>
        </is>
      </c>
      <c r="B13" s="12" t="n">
        <v>12</v>
      </c>
      <c r="C13" s="13" t="n">
        <v>2026</v>
      </c>
      <c r="D13" s="13" t="inlineStr">
        <is>
          <t>Yes</t>
        </is>
      </c>
      <c r="E13" s="13" t="inlineStr">
        <is>
          <t>Active collaborations</t>
        </is>
      </c>
    </row>
  </sheetData>
  <mergeCells count="3">
    <mergeCell ref="A1:E1"/>
    <mergeCell ref="A9:E9"/>
    <mergeCell ref="A3: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25" customHeight="1">
      <c r="A1" s="1" t="inlineStr">
        <is>
          <t>IMPACT STORIES - QUALITATIVE NARRATIVES</t>
        </is>
      </c>
    </row>
    <row r="3">
      <c r="A3" s="5" t="inlineStr">
        <is>
          <t>Featured Stories</t>
        </is>
      </c>
    </row>
    <row r="4">
      <c r="A4" s="11" t="inlineStr">
        <is>
          <t>Story Title</t>
        </is>
      </c>
      <c r="B4" s="11" t="inlineStr">
        <is>
          <t>Founder/Subject</t>
        </is>
      </c>
      <c r="C4" s="11" t="inlineStr">
        <is>
          <t>Programme</t>
        </is>
      </c>
      <c r="D4" s="11" t="inlineStr">
        <is>
          <t>Impact Summary</t>
        </is>
      </c>
    </row>
    <row r="5" ht="30" customHeight="1">
      <c r="A5" s="19" t="inlineStr">
        <is>
          <t>HealthLink Africa: Digital Health in Rural Kenya</t>
        </is>
      </c>
      <c r="B5" s="19" t="inlineStr">
        <is>
          <t>John Kipchoge</t>
        </is>
      </c>
      <c r="C5" s="19" t="inlineStr">
        <is>
          <t>HENT</t>
        </is>
      </c>
      <c r="D5" s="19" t="inlineStr">
        <is>
          <t>8,500 patients served, 45 health workers trained</t>
        </is>
      </c>
    </row>
    <row r="6" ht="30" customHeight="1">
      <c r="A6" s="19" t="inlineStr">
        <is>
          <t>KASHA: Women's Financial Inclusion</t>
        </is>
      </c>
      <c r="B6" s="19" t="inlineStr">
        <is>
          <t>Sarah Mwangi</t>
        </is>
      </c>
      <c r="C6" s="19" t="inlineStr">
        <is>
          <t>HEMP</t>
        </is>
      </c>
      <c r="D6" s="19" t="inlineStr">
        <is>
          <t>12,000 women empowered, $2.3M revenue</t>
        </is>
      </c>
    </row>
    <row r="7" ht="30" customHeight="1">
      <c r="A7" s="19" t="inlineStr">
        <is>
          <t>CRA Health Systems: Policy Influence</t>
        </is>
      </c>
      <c r="B7" s="19" t="inlineStr">
        <is>
          <t>Dr. Peter Kamau</t>
        </is>
      </c>
      <c r="C7" s="19" t="inlineStr">
        <is>
          <t>HECO</t>
        </is>
      </c>
      <c r="D7" s="19" t="inlineStr">
        <is>
          <t>2 policy changes influenced, 156K lives impacted</t>
        </is>
      </c>
    </row>
    <row r="9">
      <c r="A9" s="5" t="inlineStr">
        <is>
          <t>Case Study Categories</t>
        </is>
      </c>
    </row>
    <row r="10">
      <c r="A10" s="11" t="inlineStr">
        <is>
          <t>Category</t>
        </is>
      </c>
      <c r="B10" s="11" t="inlineStr">
        <is>
          <t>Count</t>
        </is>
      </c>
      <c r="C10" s="11" t="inlineStr">
        <is>
          <t>Focus Area</t>
        </is>
      </c>
      <c r="D10" s="11" t="inlineStr">
        <is>
          <t>Last Updated</t>
        </is>
      </c>
    </row>
    <row r="11">
      <c r="A11" s="13" t="inlineStr">
        <is>
          <t>Founder Success Stories</t>
        </is>
      </c>
      <c r="B11" s="16" t="n">
        <v>8</v>
      </c>
      <c r="C11" s="13" t="inlineStr">
        <is>
          <t>Entrepreneurship</t>
        </is>
      </c>
      <c r="D11" s="13" t="inlineStr">
        <is>
          <t>2026-09-18</t>
        </is>
      </c>
    </row>
    <row r="12">
      <c r="A12" s="13" t="inlineStr">
        <is>
          <t>Employment Transformations</t>
        </is>
      </c>
      <c r="B12" s="16" t="n">
        <v>6</v>
      </c>
      <c r="C12" s="13" t="inlineStr">
        <is>
          <t>Youth in Work</t>
        </is>
      </c>
      <c r="D12" s="13" t="inlineStr">
        <is>
          <t>2026-09-18</t>
        </is>
      </c>
    </row>
    <row r="13">
      <c r="A13" s="13" t="inlineStr">
        <is>
          <t>Health System Impact</t>
        </is>
      </c>
      <c r="B13" s="16" t="n">
        <v>4</v>
      </c>
      <c r="C13" s="13" t="inlineStr">
        <is>
          <t>Impact &amp; Scale</t>
        </is>
      </c>
      <c r="D13" s="13" t="inlineStr">
        <is>
          <t>2026-09-18</t>
        </is>
      </c>
    </row>
  </sheetData>
  <mergeCells count="3">
    <mergeCell ref="A1:D1"/>
    <mergeCell ref="A9:D9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2026-09-18T14:49:25Z</dcterms:created>
  <dcterms:modified xsi:type="dcterms:W3CDTF">2026-09-18T14:59:09Z</dcterms:modified>
</cp:coreProperties>
</file>